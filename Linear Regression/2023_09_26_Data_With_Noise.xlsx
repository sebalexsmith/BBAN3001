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l\My Projects\"/>
    </mc:Choice>
  </mc:AlternateContent>
  <xr:revisionPtr revIDLastSave="0" documentId="13_ncr:1_{B0784CF9-91C4-481B-B1FD-CB60A6CEB5ED}" xr6:coauthVersionLast="47" xr6:coauthVersionMax="47" xr10:uidLastSave="{00000000-0000-0000-0000-000000000000}"/>
  <bookViews>
    <workbookView xWindow="-110" yWindow="-110" windowWidth="19420" windowHeight="11020" activeTab="1" xr2:uid="{8246CE46-F7F2-4256-8953-509BA8FE15A9}"/>
  </bookViews>
  <sheets>
    <sheet name="Data" sheetId="2" r:id="rId1"/>
    <sheet name="Rando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H24" i="1" s="1" a="1"/>
  <c r="H24" i="1" s="1"/>
  <c r="C24" i="1"/>
  <c r="D24" i="1"/>
  <c r="E24" i="1"/>
  <c r="F24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H48" i="1" s="1" a="1"/>
  <c r="H48" i="1" s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H56" i="1" s="1" a="1"/>
  <c r="H56" i="1" s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H72" i="1" s="1" a="1"/>
  <c r="H72" i="1" s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H80" i="1" s="1" a="1"/>
  <c r="H80" i="1" s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F12" i="1"/>
  <c r="F13" i="1"/>
  <c r="F14" i="1"/>
  <c r="F15" i="1"/>
  <c r="F16" i="1"/>
  <c r="F11" i="1"/>
  <c r="E12" i="1"/>
  <c r="E13" i="1"/>
  <c r="E14" i="1"/>
  <c r="E15" i="1"/>
  <c r="E16" i="1"/>
  <c r="E11" i="1"/>
  <c r="D12" i="1"/>
  <c r="D13" i="1"/>
  <c r="D14" i="1"/>
  <c r="D15" i="1"/>
  <c r="D16" i="1"/>
  <c r="D11" i="1"/>
  <c r="C12" i="1"/>
  <c r="C13" i="1"/>
  <c r="C14" i="1"/>
  <c r="C15" i="1"/>
  <c r="C16" i="1"/>
  <c r="C11" i="1"/>
  <c r="B15" i="1"/>
  <c r="B16" i="1"/>
  <c r="B12" i="1"/>
  <c r="B13" i="1"/>
  <c r="B14" i="1"/>
  <c r="B11" i="1"/>
  <c r="H64" i="1" l="1" a="1"/>
  <c r="H64" i="1" s="1"/>
  <c r="H40" i="1" a="1"/>
  <c r="H40" i="1" s="1"/>
  <c r="H32" i="1" a="1"/>
  <c r="H32" i="1" s="1"/>
  <c r="H95" i="1" a="1"/>
  <c r="H95" i="1" s="1"/>
  <c r="H88" i="1" a="1"/>
  <c r="H88" i="1" s="1"/>
  <c r="H103" i="1" a="1"/>
  <c r="H103" i="1" s="1"/>
  <c r="H79" i="1" a="1"/>
  <c r="H79" i="1" s="1"/>
  <c r="H71" i="1" a="1"/>
  <c r="H71" i="1" s="1"/>
  <c r="H63" i="1" a="1"/>
  <c r="H63" i="1" s="1"/>
  <c r="H55" i="1" a="1"/>
  <c r="H55" i="1" s="1"/>
  <c r="H31" i="1" a="1"/>
  <c r="H31" i="1" s="1"/>
  <c r="H87" i="1" a="1"/>
  <c r="H87" i="1" s="1"/>
  <c r="H109" i="1" a="1"/>
  <c r="H109" i="1" s="1"/>
  <c r="H101" i="1" a="1"/>
  <c r="H101" i="1" s="1"/>
  <c r="H93" i="1" a="1"/>
  <c r="H93" i="1" s="1"/>
  <c r="H85" i="1" a="1"/>
  <c r="H85" i="1" s="1"/>
  <c r="H13" i="1" a="1"/>
  <c r="H13" i="1" s="1"/>
  <c r="H110" i="1" a="1"/>
  <c r="H110" i="1" s="1"/>
  <c r="H102" i="1" a="1"/>
  <c r="H102" i="1" s="1"/>
  <c r="H94" i="1" a="1"/>
  <c r="H94" i="1" s="1"/>
  <c r="H86" i="1" a="1"/>
  <c r="H86" i="1" s="1"/>
  <c r="H78" i="1" a="1"/>
  <c r="H78" i="1" s="1"/>
  <c r="H70" i="1" a="1"/>
  <c r="H70" i="1" s="1"/>
  <c r="H62" i="1" a="1"/>
  <c r="H62" i="1" s="1"/>
  <c r="H54" i="1" a="1"/>
  <c r="H54" i="1" s="1"/>
  <c r="H46" i="1" a="1"/>
  <c r="H46" i="1" s="1"/>
  <c r="H38" i="1" a="1"/>
  <c r="H38" i="1" s="1"/>
  <c r="H30" i="1" a="1"/>
  <c r="H30" i="1" s="1"/>
  <c r="H22" i="1" a="1"/>
  <c r="H22" i="1" s="1"/>
  <c r="H14" i="1" a="1"/>
  <c r="H14" i="1" s="1"/>
  <c r="H105" i="1" a="1"/>
  <c r="H105" i="1" s="1"/>
  <c r="H81" i="1" a="1"/>
  <c r="H81" i="1" s="1"/>
  <c r="H73" i="1" a="1"/>
  <c r="H73" i="1" s="1"/>
  <c r="H65" i="1" a="1"/>
  <c r="H65" i="1" s="1"/>
  <c r="H57" i="1" a="1"/>
  <c r="H57" i="1" s="1"/>
  <c r="H49" i="1" a="1"/>
  <c r="H49" i="1" s="1"/>
  <c r="H47" i="1" a="1"/>
  <c r="H47" i="1" s="1"/>
  <c r="H41" i="1" a="1"/>
  <c r="H41" i="1" s="1"/>
  <c r="H39" i="1" a="1"/>
  <c r="H39" i="1" s="1"/>
  <c r="H33" i="1" a="1"/>
  <c r="H33" i="1" s="1"/>
  <c r="H25" i="1" a="1"/>
  <c r="H25" i="1" s="1"/>
  <c r="H23" i="1" a="1"/>
  <c r="H23" i="1" s="1"/>
  <c r="H17" i="1" a="1"/>
  <c r="H17" i="1" s="1"/>
  <c r="H89" i="1" a="1"/>
  <c r="H89" i="1" s="1"/>
  <c r="H100" i="1" a="1"/>
  <c r="H100" i="1" s="1"/>
  <c r="H92" i="1" a="1"/>
  <c r="H92" i="1" s="1"/>
  <c r="H84" i="1" a="1"/>
  <c r="H84" i="1" s="1"/>
  <c r="H76" i="1" a="1"/>
  <c r="H76" i="1" s="1"/>
  <c r="H68" i="1" a="1"/>
  <c r="H68" i="1" s="1"/>
  <c r="H60" i="1" a="1"/>
  <c r="H60" i="1" s="1"/>
  <c r="H52" i="1" a="1"/>
  <c r="H52" i="1" s="1"/>
  <c r="H44" i="1" a="1"/>
  <c r="H44" i="1" s="1"/>
  <c r="H36" i="1" a="1"/>
  <c r="H36" i="1" s="1"/>
  <c r="H28" i="1" a="1"/>
  <c r="H28" i="1" s="1"/>
  <c r="H20" i="1" a="1"/>
  <c r="H20" i="1" s="1"/>
  <c r="H12" i="1" a="1"/>
  <c r="H12" i="1" s="1"/>
  <c r="H97" i="1" a="1"/>
  <c r="H97" i="1" s="1"/>
  <c r="H16" i="1" a="1"/>
  <c r="H16" i="1" s="1"/>
  <c r="H108" i="1" a="1"/>
  <c r="H108" i="1" s="1"/>
  <c r="H15" i="1" a="1"/>
  <c r="H15" i="1" s="1"/>
  <c r="H106" i="1" a="1"/>
  <c r="H106" i="1" s="1"/>
  <c r="H98" i="1" a="1"/>
  <c r="H98" i="1" s="1"/>
  <c r="H90" i="1" a="1"/>
  <c r="H90" i="1" s="1"/>
  <c r="H82" i="1" a="1"/>
  <c r="H82" i="1" s="1"/>
  <c r="H74" i="1" a="1"/>
  <c r="H74" i="1" s="1"/>
  <c r="H66" i="1" a="1"/>
  <c r="H66" i="1" s="1"/>
  <c r="H58" i="1" a="1"/>
  <c r="H58" i="1" s="1"/>
  <c r="H50" i="1" a="1"/>
  <c r="H50" i="1" s="1"/>
  <c r="H42" i="1" a="1"/>
  <c r="H42" i="1" s="1"/>
  <c r="H34" i="1" a="1"/>
  <c r="H34" i="1" s="1"/>
  <c r="H26" i="1" a="1"/>
  <c r="H26" i="1" s="1"/>
  <c r="H18" i="1" a="1"/>
  <c r="H18" i="1" s="1"/>
  <c r="H107" i="1" a="1"/>
  <c r="H107" i="1" s="1"/>
  <c r="H104" i="1" a="1"/>
  <c r="H104" i="1" s="1"/>
  <c r="H99" i="1" a="1"/>
  <c r="H99" i="1" s="1"/>
  <c r="H96" i="1" a="1"/>
  <c r="H96" i="1" s="1"/>
  <c r="H91" i="1" a="1"/>
  <c r="H91" i="1" s="1"/>
  <c r="H83" i="1" a="1"/>
  <c r="H83" i="1" s="1"/>
  <c r="H77" i="1" a="1"/>
  <c r="H77" i="1" s="1"/>
  <c r="H75" i="1" a="1"/>
  <c r="H75" i="1" s="1"/>
  <c r="H69" i="1" a="1"/>
  <c r="H69" i="1" s="1"/>
  <c r="H67" i="1" a="1"/>
  <c r="H67" i="1" s="1"/>
  <c r="H61" i="1" a="1"/>
  <c r="H61" i="1" s="1"/>
  <c r="H59" i="1" a="1"/>
  <c r="H59" i="1" s="1"/>
  <c r="H53" i="1" a="1"/>
  <c r="H53" i="1" s="1"/>
  <c r="H51" i="1" a="1"/>
  <c r="H51" i="1" s="1"/>
  <c r="H45" i="1" a="1"/>
  <c r="H45" i="1" s="1"/>
  <c r="H43" i="1" a="1"/>
  <c r="H43" i="1" s="1"/>
  <c r="H37" i="1" a="1"/>
  <c r="H37" i="1" s="1"/>
  <c r="H35" i="1" a="1"/>
  <c r="H35" i="1" s="1"/>
  <c r="H29" i="1" a="1"/>
  <c r="H29" i="1" s="1"/>
  <c r="H27" i="1" a="1"/>
  <c r="H27" i="1" s="1"/>
  <c r="H21" i="1" a="1"/>
  <c r="H21" i="1" s="1"/>
  <c r="H19" i="1" a="1"/>
  <c r="H19" i="1" s="1"/>
  <c r="H11" i="1" a="1"/>
  <c r="H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<sst xmlns="http://schemas.openxmlformats.org/spreadsheetml/2006/main" count="22" uniqueCount="15">
  <si>
    <t>Population Model</t>
  </si>
  <si>
    <t>Property1</t>
  </si>
  <si>
    <t>Property2</t>
  </si>
  <si>
    <t>Property3</t>
  </si>
  <si>
    <t>Property4</t>
  </si>
  <si>
    <t>Price</t>
  </si>
  <si>
    <t>Obs. No.</t>
  </si>
  <si>
    <t>Property5</t>
  </si>
  <si>
    <t>B1</t>
  </si>
  <si>
    <t>B2</t>
  </si>
  <si>
    <t>B3</t>
  </si>
  <si>
    <t>B4</t>
  </si>
  <si>
    <t>B5</t>
  </si>
  <si>
    <t>B0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</si>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</sst>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229E-D568-4688-A6D0-486586CCF276}">
  <dimension ref="A1:G101"/>
  <sheetViews>
    <sheetView zoomScaleNormal="100" workbookViewId="0">
      <selection activeCell="I3" sqref="I3"/>
    </sheetView>
  </sheetViews>
  <sheetFormatPr baseColWidth="10" defaultColWidth="8.7265625" defaultRowHeight="14.5" x14ac:dyDescent="0.35"/>
  <cols>
    <col min="1" max="7" width="10.7265625" customWidth="1"/>
  </cols>
  <sheetData>
    <row r="1" spans="1:7" x14ac:dyDescent="0.35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</row>
    <row r="2" spans="1:7" x14ac:dyDescent="0.35">
      <c r="A2">
        <v>1</v>
      </c>
      <c r="B2">
        <v>9</v>
      </c>
      <c r="C2">
        <v>1528.04</v>
      </c>
      <c r="D2">
        <v>53.438869289483108</v>
      </c>
      <c r="E2">
        <v>839</v>
      </c>
      <c r="F2">
        <v>0</v>
      </c>
      <c r="G2">
        <v>83028.226355500228</v>
      </c>
    </row>
    <row r="3" spans="1:7" x14ac:dyDescent="0.35">
      <c r="A3">
        <v>2</v>
      </c>
      <c r="B3">
        <v>2</v>
      </c>
      <c r="C3">
        <v>1205.1500000000001</v>
      </c>
      <c r="D3">
        <v>52.304595911082345</v>
      </c>
      <c r="E3">
        <v>714</v>
      </c>
      <c r="F3">
        <v>1</v>
      </c>
      <c r="G3">
        <v>92443.658639687303</v>
      </c>
    </row>
    <row r="4" spans="1:7" x14ac:dyDescent="0.35">
      <c r="A4">
        <v>3</v>
      </c>
      <c r="B4">
        <v>7</v>
      </c>
      <c r="C4">
        <v>1628.35</v>
      </c>
      <c r="D4">
        <v>44.539374630877397</v>
      </c>
      <c r="E4">
        <v>871</v>
      </c>
      <c r="F4">
        <v>0</v>
      </c>
      <c r="G4">
        <v>88218.059624630332</v>
      </c>
    </row>
    <row r="5" spans="1:7" x14ac:dyDescent="0.35">
      <c r="A5">
        <v>4</v>
      </c>
      <c r="B5">
        <v>5</v>
      </c>
      <c r="C5">
        <v>1264.71</v>
      </c>
      <c r="D5">
        <v>56.65550478616953</v>
      </c>
      <c r="E5">
        <v>655</v>
      </c>
      <c r="F5">
        <v>1</v>
      </c>
      <c r="G5">
        <v>56910.012351842284</v>
      </c>
    </row>
    <row r="6" spans="1:7" x14ac:dyDescent="0.35">
      <c r="A6">
        <v>5</v>
      </c>
      <c r="B6">
        <v>2</v>
      </c>
      <c r="C6">
        <v>1205.8399999999999</v>
      </c>
      <c r="D6">
        <v>66.100192646937401</v>
      </c>
      <c r="E6">
        <v>1007</v>
      </c>
      <c r="F6">
        <v>1</v>
      </c>
      <c r="G6">
        <v>76436.427524235187</v>
      </c>
    </row>
    <row r="7" spans="1:7" x14ac:dyDescent="0.35">
      <c r="A7">
        <v>6</v>
      </c>
      <c r="B7">
        <v>4</v>
      </c>
      <c r="C7">
        <v>1950.98</v>
      </c>
      <c r="D7">
        <v>36.709083619819552</v>
      </c>
      <c r="E7">
        <v>793</v>
      </c>
      <c r="F7">
        <v>1</v>
      </c>
      <c r="G7">
        <v>108743.77002689522</v>
      </c>
    </row>
    <row r="8" spans="1:7" x14ac:dyDescent="0.35">
      <c r="A8">
        <v>7</v>
      </c>
      <c r="B8">
        <v>10</v>
      </c>
      <c r="C8">
        <v>1085.05</v>
      </c>
      <c r="D8">
        <v>39.996757921687717</v>
      </c>
      <c r="E8">
        <v>654</v>
      </c>
      <c r="F8">
        <v>0</v>
      </c>
      <c r="G8">
        <v>52384.401054405462</v>
      </c>
    </row>
    <row r="9" spans="1:7" x14ac:dyDescent="0.35">
      <c r="A9">
        <v>8</v>
      </c>
      <c r="B9">
        <v>6</v>
      </c>
      <c r="C9">
        <v>1058.53</v>
      </c>
      <c r="D9">
        <v>54.007813557598666</v>
      </c>
      <c r="E9">
        <v>717</v>
      </c>
      <c r="F9">
        <v>0</v>
      </c>
      <c r="G9">
        <v>55676.173332962055</v>
      </c>
    </row>
    <row r="10" spans="1:7" x14ac:dyDescent="0.35">
      <c r="A10">
        <v>9</v>
      </c>
      <c r="B10">
        <v>3</v>
      </c>
      <c r="C10">
        <v>1952.74</v>
      </c>
      <c r="D10">
        <v>74.862404879438316</v>
      </c>
      <c r="E10">
        <v>650</v>
      </c>
      <c r="F10">
        <v>0</v>
      </c>
      <c r="G10">
        <v>105085.27066588141</v>
      </c>
    </row>
    <row r="11" spans="1:7" x14ac:dyDescent="0.35">
      <c r="A11">
        <v>10</v>
      </c>
      <c r="B11">
        <v>8</v>
      </c>
      <c r="C11">
        <v>1976.86</v>
      </c>
      <c r="D11">
        <v>48.868979703560193</v>
      </c>
      <c r="E11">
        <v>748</v>
      </c>
      <c r="F11">
        <v>0</v>
      </c>
      <c r="G11">
        <v>99047.851246442369</v>
      </c>
    </row>
    <row r="12" spans="1:7" x14ac:dyDescent="0.35">
      <c r="A12">
        <v>11</v>
      </c>
      <c r="B12">
        <v>10</v>
      </c>
      <c r="C12">
        <v>1304.8599999999999</v>
      </c>
      <c r="D12">
        <v>17.195320064837112</v>
      </c>
      <c r="E12">
        <v>1008</v>
      </c>
      <c r="F12">
        <v>1</v>
      </c>
      <c r="G12">
        <v>86241.429585463353</v>
      </c>
    </row>
    <row r="13" spans="1:7" x14ac:dyDescent="0.35">
      <c r="A13">
        <v>12</v>
      </c>
      <c r="B13">
        <v>10</v>
      </c>
      <c r="C13">
        <v>1460.29</v>
      </c>
      <c r="D13">
        <v>8.6108841298655108</v>
      </c>
      <c r="E13">
        <v>1063</v>
      </c>
      <c r="F13">
        <v>1</v>
      </c>
      <c r="G13">
        <v>82710.452096229274</v>
      </c>
    </row>
    <row r="14" spans="1:7" x14ac:dyDescent="0.35">
      <c r="A14">
        <v>13</v>
      </c>
      <c r="B14">
        <v>5</v>
      </c>
      <c r="C14">
        <v>1088.73</v>
      </c>
      <c r="D14">
        <v>48.486865286217231</v>
      </c>
      <c r="E14">
        <v>973</v>
      </c>
      <c r="F14">
        <v>1</v>
      </c>
      <c r="G14">
        <v>70721.591163504054</v>
      </c>
    </row>
    <row r="15" spans="1:7" x14ac:dyDescent="0.35">
      <c r="A15">
        <v>14</v>
      </c>
      <c r="B15">
        <v>3</v>
      </c>
      <c r="C15">
        <v>1200.04</v>
      </c>
      <c r="D15">
        <v>76.924828231734338</v>
      </c>
      <c r="E15">
        <v>868</v>
      </c>
      <c r="F15">
        <v>1</v>
      </c>
      <c r="G15">
        <v>84509.317460466627</v>
      </c>
    </row>
    <row r="16" spans="1:7" x14ac:dyDescent="0.35">
      <c r="A16">
        <v>15</v>
      </c>
      <c r="B16">
        <v>9</v>
      </c>
      <c r="C16">
        <v>1359.58</v>
      </c>
      <c r="D16">
        <v>13.157018734290638</v>
      </c>
      <c r="E16">
        <v>583</v>
      </c>
      <c r="F16">
        <v>1</v>
      </c>
      <c r="G16">
        <v>84316.986815395896</v>
      </c>
    </row>
    <row r="17" spans="1:7" x14ac:dyDescent="0.35">
      <c r="A17">
        <v>16</v>
      </c>
      <c r="B17">
        <v>8</v>
      </c>
      <c r="C17">
        <v>1986.77</v>
      </c>
      <c r="D17">
        <v>24.98843390135098</v>
      </c>
      <c r="E17">
        <v>1068</v>
      </c>
      <c r="F17">
        <v>0</v>
      </c>
      <c r="G17">
        <v>115360.19190134264</v>
      </c>
    </row>
    <row r="18" spans="1:7" x14ac:dyDescent="0.35">
      <c r="A18">
        <v>17</v>
      </c>
      <c r="B18">
        <v>4</v>
      </c>
      <c r="C18">
        <v>1160.03</v>
      </c>
      <c r="D18">
        <v>42.533243136925776</v>
      </c>
      <c r="E18">
        <v>736</v>
      </c>
      <c r="F18">
        <v>0</v>
      </c>
      <c r="G18">
        <v>85680.135613399514</v>
      </c>
    </row>
    <row r="19" spans="1:7" x14ac:dyDescent="0.35">
      <c r="A19">
        <v>18</v>
      </c>
      <c r="B19">
        <v>9</v>
      </c>
      <c r="C19">
        <v>1735.93</v>
      </c>
      <c r="D19">
        <v>87.16751205041632</v>
      </c>
      <c r="E19">
        <v>860</v>
      </c>
      <c r="F19">
        <v>0</v>
      </c>
      <c r="G19">
        <v>93149.31416706169</v>
      </c>
    </row>
    <row r="20" spans="1:7" x14ac:dyDescent="0.35">
      <c r="A20">
        <v>19</v>
      </c>
      <c r="B20">
        <v>2</v>
      </c>
      <c r="C20">
        <v>1444.98</v>
      </c>
      <c r="D20">
        <v>37.457194061937322</v>
      </c>
      <c r="E20">
        <v>753</v>
      </c>
      <c r="F20">
        <v>1</v>
      </c>
      <c r="G20">
        <v>92502.149574090319</v>
      </c>
    </row>
    <row r="21" spans="1:7" x14ac:dyDescent="0.35">
      <c r="A21">
        <v>20</v>
      </c>
      <c r="B21">
        <v>4</v>
      </c>
      <c r="C21">
        <v>1039.27</v>
      </c>
      <c r="D21">
        <v>13.246670174486646</v>
      </c>
      <c r="E21">
        <v>793</v>
      </c>
      <c r="F21">
        <v>0</v>
      </c>
      <c r="G21">
        <v>70790.131041559231</v>
      </c>
    </row>
    <row r="22" spans="1:7" x14ac:dyDescent="0.35">
      <c r="A22">
        <v>21</v>
      </c>
      <c r="B22">
        <v>3</v>
      </c>
      <c r="C22">
        <v>1294.8599999999999</v>
      </c>
      <c r="D22">
        <v>53.678004506134002</v>
      </c>
      <c r="E22">
        <v>578</v>
      </c>
      <c r="F22">
        <v>0</v>
      </c>
      <c r="G22">
        <v>81506.675418115949</v>
      </c>
    </row>
    <row r="23" spans="1:7" x14ac:dyDescent="0.35">
      <c r="A23">
        <v>22</v>
      </c>
      <c r="B23">
        <v>4</v>
      </c>
      <c r="C23">
        <v>1685.79</v>
      </c>
      <c r="D23">
        <v>39.902755222193242</v>
      </c>
      <c r="E23">
        <v>595</v>
      </c>
      <c r="F23">
        <v>0</v>
      </c>
      <c r="G23">
        <v>90410.871710863008</v>
      </c>
    </row>
    <row r="24" spans="1:7" x14ac:dyDescent="0.35">
      <c r="A24">
        <v>23</v>
      </c>
      <c r="B24">
        <v>10</v>
      </c>
      <c r="C24">
        <v>1190.44</v>
      </c>
      <c r="D24">
        <v>86.718169952481986</v>
      </c>
      <c r="E24">
        <v>579</v>
      </c>
      <c r="F24">
        <v>1</v>
      </c>
      <c r="G24">
        <v>55440.22382184898</v>
      </c>
    </row>
    <row r="25" spans="1:7" x14ac:dyDescent="0.35">
      <c r="A25">
        <v>24</v>
      </c>
      <c r="B25">
        <v>3</v>
      </c>
      <c r="C25">
        <v>1638.69</v>
      </c>
      <c r="D25">
        <v>76.62278554649437</v>
      </c>
      <c r="E25">
        <v>542</v>
      </c>
      <c r="F25">
        <v>0</v>
      </c>
      <c r="G25">
        <v>80336.173681882152</v>
      </c>
    </row>
    <row r="26" spans="1:7" x14ac:dyDescent="0.35">
      <c r="A26">
        <v>25</v>
      </c>
      <c r="B26">
        <v>10</v>
      </c>
      <c r="C26">
        <v>1557.24</v>
      </c>
      <c r="D26">
        <v>26.117526284679503</v>
      </c>
      <c r="E26">
        <v>1011</v>
      </c>
      <c r="F26">
        <v>1</v>
      </c>
      <c r="G26">
        <v>98239.816988548948</v>
      </c>
    </row>
    <row r="27" spans="1:7" x14ac:dyDescent="0.35">
      <c r="A27">
        <v>26</v>
      </c>
      <c r="B27">
        <v>9</v>
      </c>
      <c r="C27">
        <v>1060.68</v>
      </c>
      <c r="D27">
        <v>22.089025640225412</v>
      </c>
      <c r="E27">
        <v>849</v>
      </c>
      <c r="F27">
        <v>0</v>
      </c>
      <c r="G27">
        <v>54770.981434034606</v>
      </c>
    </row>
    <row r="28" spans="1:7" x14ac:dyDescent="0.35">
      <c r="A28">
        <v>27</v>
      </c>
      <c r="B28">
        <v>5</v>
      </c>
      <c r="C28">
        <v>1797.55</v>
      </c>
      <c r="D28">
        <v>52.750797779778559</v>
      </c>
      <c r="E28">
        <v>717</v>
      </c>
      <c r="F28">
        <v>1</v>
      </c>
      <c r="G28">
        <v>92383.871271611177</v>
      </c>
    </row>
    <row r="29" spans="1:7" x14ac:dyDescent="0.35">
      <c r="A29">
        <v>28</v>
      </c>
      <c r="B29">
        <v>3</v>
      </c>
      <c r="C29">
        <v>1267.92</v>
      </c>
      <c r="D29">
        <v>85.732634741584036</v>
      </c>
      <c r="E29">
        <v>522</v>
      </c>
      <c r="F29">
        <v>1</v>
      </c>
      <c r="G29">
        <v>82468.113135231761</v>
      </c>
    </row>
    <row r="30" spans="1:7" x14ac:dyDescent="0.35">
      <c r="A30">
        <v>29</v>
      </c>
      <c r="B30">
        <v>6</v>
      </c>
      <c r="C30">
        <v>1880.08</v>
      </c>
      <c r="D30">
        <v>61.294901697837815</v>
      </c>
      <c r="E30">
        <v>641</v>
      </c>
      <c r="F30">
        <v>1</v>
      </c>
      <c r="G30">
        <v>96121.975218374369</v>
      </c>
    </row>
    <row r="31" spans="1:7" x14ac:dyDescent="0.35">
      <c r="A31">
        <v>30</v>
      </c>
      <c r="B31">
        <v>2</v>
      </c>
      <c r="C31">
        <v>1425.38</v>
      </c>
      <c r="D31">
        <v>69.171075389373485</v>
      </c>
      <c r="E31">
        <v>810</v>
      </c>
      <c r="F31">
        <v>1</v>
      </c>
      <c r="G31">
        <v>76045.209648288277</v>
      </c>
    </row>
    <row r="32" spans="1:7" x14ac:dyDescent="0.35">
      <c r="A32">
        <v>31</v>
      </c>
      <c r="B32">
        <v>4</v>
      </c>
      <c r="C32">
        <v>1267.51</v>
      </c>
      <c r="D32">
        <v>28.153875034639448</v>
      </c>
      <c r="E32">
        <v>668</v>
      </c>
      <c r="F32">
        <v>1</v>
      </c>
      <c r="G32">
        <v>74498.691208419797</v>
      </c>
    </row>
    <row r="33" spans="1:7" x14ac:dyDescent="0.35">
      <c r="A33">
        <v>32</v>
      </c>
      <c r="B33">
        <v>10</v>
      </c>
      <c r="C33">
        <v>1230.3499999999999</v>
      </c>
      <c r="D33">
        <v>70.235447906702689</v>
      </c>
      <c r="E33">
        <v>927</v>
      </c>
      <c r="F33">
        <v>0</v>
      </c>
      <c r="G33">
        <v>54232.633952901182</v>
      </c>
    </row>
    <row r="34" spans="1:7" x14ac:dyDescent="0.35">
      <c r="A34">
        <v>33</v>
      </c>
      <c r="B34">
        <v>2</v>
      </c>
      <c r="C34">
        <v>1218.25</v>
      </c>
      <c r="D34">
        <v>66.844775490462908</v>
      </c>
      <c r="E34">
        <v>638</v>
      </c>
      <c r="F34">
        <v>0</v>
      </c>
      <c r="G34">
        <v>46032.132824502136</v>
      </c>
    </row>
    <row r="35" spans="1:7" x14ac:dyDescent="0.35">
      <c r="A35">
        <v>34</v>
      </c>
      <c r="B35">
        <v>6</v>
      </c>
      <c r="C35">
        <v>1487.47</v>
      </c>
      <c r="D35">
        <v>57.419483243949017</v>
      </c>
      <c r="E35">
        <v>799</v>
      </c>
      <c r="F35">
        <v>1</v>
      </c>
      <c r="G35">
        <v>99196.844591222994</v>
      </c>
    </row>
    <row r="36" spans="1:7" x14ac:dyDescent="0.35">
      <c r="A36">
        <v>35</v>
      </c>
      <c r="B36">
        <v>7</v>
      </c>
      <c r="C36">
        <v>1233.43</v>
      </c>
      <c r="D36">
        <v>35.840619930746357</v>
      </c>
      <c r="E36">
        <v>877</v>
      </c>
      <c r="F36">
        <v>0</v>
      </c>
      <c r="G36">
        <v>75207.058308130479</v>
      </c>
    </row>
    <row r="37" spans="1:7" x14ac:dyDescent="0.35">
      <c r="A37">
        <v>36</v>
      </c>
      <c r="B37">
        <v>3</v>
      </c>
      <c r="C37">
        <v>1193.3499999999999</v>
      </c>
      <c r="D37">
        <v>66.591058604807046</v>
      </c>
      <c r="E37">
        <v>812</v>
      </c>
      <c r="F37">
        <v>0</v>
      </c>
      <c r="G37">
        <v>76068.945952024529</v>
      </c>
    </row>
    <row r="38" spans="1:7" x14ac:dyDescent="0.35">
      <c r="A38">
        <v>37</v>
      </c>
      <c r="B38">
        <v>8</v>
      </c>
      <c r="C38">
        <v>1047.06</v>
      </c>
      <c r="D38">
        <v>37.594949787000992</v>
      </c>
      <c r="E38">
        <v>967</v>
      </c>
      <c r="F38">
        <v>1</v>
      </c>
      <c r="G38">
        <v>69420.279469495363</v>
      </c>
    </row>
    <row r="39" spans="1:7" x14ac:dyDescent="0.35">
      <c r="A39">
        <v>38</v>
      </c>
      <c r="B39">
        <v>6</v>
      </c>
      <c r="C39">
        <v>1735.78</v>
      </c>
      <c r="D39">
        <v>86.410429972730199</v>
      </c>
      <c r="E39">
        <v>752</v>
      </c>
      <c r="F39">
        <v>1</v>
      </c>
      <c r="G39">
        <v>89927.420087716862</v>
      </c>
    </row>
    <row r="40" spans="1:7" x14ac:dyDescent="0.35">
      <c r="A40">
        <v>39</v>
      </c>
      <c r="B40">
        <v>2</v>
      </c>
      <c r="C40">
        <v>1212.93</v>
      </c>
      <c r="D40">
        <v>71.218343614535371</v>
      </c>
      <c r="E40">
        <v>870</v>
      </c>
      <c r="F40">
        <v>1</v>
      </c>
      <c r="G40">
        <v>65556.815118890387</v>
      </c>
    </row>
    <row r="41" spans="1:7" x14ac:dyDescent="0.35">
      <c r="A41">
        <v>40</v>
      </c>
      <c r="B41">
        <v>4</v>
      </c>
      <c r="C41">
        <v>1300.97</v>
      </c>
      <c r="D41">
        <v>75.631432820130101</v>
      </c>
      <c r="E41">
        <v>858</v>
      </c>
      <c r="F41">
        <v>0</v>
      </c>
      <c r="G41">
        <v>64865.490478313717</v>
      </c>
    </row>
    <row r="42" spans="1:7" x14ac:dyDescent="0.35">
      <c r="A42">
        <v>41</v>
      </c>
      <c r="B42">
        <v>7</v>
      </c>
      <c r="C42">
        <v>1018.62</v>
      </c>
      <c r="D42">
        <v>31.970723109090482</v>
      </c>
      <c r="E42">
        <v>639</v>
      </c>
      <c r="F42">
        <v>1</v>
      </c>
      <c r="G42">
        <v>59852.40897530067</v>
      </c>
    </row>
    <row r="43" spans="1:7" x14ac:dyDescent="0.35">
      <c r="A43">
        <v>42</v>
      </c>
      <c r="B43">
        <v>2</v>
      </c>
      <c r="C43">
        <v>1340.86</v>
      </c>
      <c r="D43">
        <v>65.527945341818722</v>
      </c>
      <c r="E43">
        <v>759</v>
      </c>
      <c r="F43">
        <v>0</v>
      </c>
      <c r="G43">
        <v>86429.997895656794</v>
      </c>
    </row>
    <row r="44" spans="1:7" x14ac:dyDescent="0.35">
      <c r="A44">
        <v>43</v>
      </c>
      <c r="B44">
        <v>6</v>
      </c>
      <c r="C44">
        <v>1080.98</v>
      </c>
      <c r="D44">
        <v>29.316711964100914</v>
      </c>
      <c r="E44">
        <v>759</v>
      </c>
      <c r="F44">
        <v>0</v>
      </c>
      <c r="G44">
        <v>51798.433338117764</v>
      </c>
    </row>
    <row r="45" spans="1:7" x14ac:dyDescent="0.35">
      <c r="A45">
        <v>44</v>
      </c>
      <c r="B45">
        <v>10</v>
      </c>
      <c r="C45">
        <v>1859.47</v>
      </c>
      <c r="D45">
        <v>86.253777204727413</v>
      </c>
      <c r="E45">
        <v>968</v>
      </c>
      <c r="F45">
        <v>1</v>
      </c>
      <c r="G45">
        <v>86543.763003044645</v>
      </c>
    </row>
    <row r="46" spans="1:7" x14ac:dyDescent="0.35">
      <c r="A46">
        <v>45</v>
      </c>
      <c r="B46">
        <v>2</v>
      </c>
      <c r="C46">
        <v>1449.07</v>
      </c>
      <c r="D46">
        <v>45.465441325391907</v>
      </c>
      <c r="E46">
        <v>997</v>
      </c>
      <c r="F46">
        <v>1</v>
      </c>
      <c r="G46">
        <v>96973.892568133117</v>
      </c>
    </row>
    <row r="47" spans="1:7" x14ac:dyDescent="0.35">
      <c r="A47">
        <v>46</v>
      </c>
      <c r="B47">
        <v>2</v>
      </c>
      <c r="C47">
        <v>1854.29</v>
      </c>
      <c r="D47">
        <v>31.238624516944732</v>
      </c>
      <c r="E47">
        <v>1049</v>
      </c>
      <c r="F47">
        <v>0</v>
      </c>
      <c r="G47">
        <v>100136.82430506924</v>
      </c>
    </row>
    <row r="48" spans="1:7" x14ac:dyDescent="0.35">
      <c r="A48">
        <v>47</v>
      </c>
      <c r="B48">
        <v>6</v>
      </c>
      <c r="C48">
        <v>1921.92</v>
      </c>
      <c r="D48">
        <v>87.052957059314309</v>
      </c>
      <c r="E48">
        <v>810</v>
      </c>
      <c r="F48">
        <v>1</v>
      </c>
      <c r="G48">
        <v>106221.7546922788</v>
      </c>
    </row>
    <row r="49" spans="1:7" x14ac:dyDescent="0.35">
      <c r="A49">
        <v>48</v>
      </c>
      <c r="B49">
        <v>4</v>
      </c>
      <c r="C49">
        <v>1296.43</v>
      </c>
      <c r="D49">
        <v>57.705134853812979</v>
      </c>
      <c r="E49">
        <v>925</v>
      </c>
      <c r="F49">
        <v>0</v>
      </c>
      <c r="G49">
        <v>87817.322975238319</v>
      </c>
    </row>
    <row r="50" spans="1:7" x14ac:dyDescent="0.35">
      <c r="A50">
        <v>49</v>
      </c>
      <c r="B50">
        <v>4</v>
      </c>
      <c r="C50">
        <v>1421.82</v>
      </c>
      <c r="D50">
        <v>35.625142074201541</v>
      </c>
      <c r="E50">
        <v>616</v>
      </c>
      <c r="F50">
        <v>0</v>
      </c>
      <c r="G50">
        <v>83293.984606994156</v>
      </c>
    </row>
    <row r="51" spans="1:7" x14ac:dyDescent="0.35">
      <c r="A51">
        <v>50</v>
      </c>
      <c r="B51">
        <v>9</v>
      </c>
      <c r="C51">
        <v>1960.94</v>
      </c>
      <c r="D51">
        <v>57.475372670889676</v>
      </c>
      <c r="E51">
        <v>604</v>
      </c>
      <c r="F51">
        <v>1</v>
      </c>
      <c r="G51">
        <v>90316.315815345239</v>
      </c>
    </row>
    <row r="52" spans="1:7" x14ac:dyDescent="0.35">
      <c r="A52">
        <v>51</v>
      </c>
      <c r="B52">
        <v>9</v>
      </c>
      <c r="C52">
        <v>1304.8499999999999</v>
      </c>
      <c r="D52">
        <v>45.384843560939871</v>
      </c>
      <c r="E52">
        <v>712</v>
      </c>
      <c r="F52">
        <v>0</v>
      </c>
      <c r="G52">
        <v>65592.099285426302</v>
      </c>
    </row>
    <row r="53" spans="1:7" x14ac:dyDescent="0.35">
      <c r="A53">
        <v>52</v>
      </c>
      <c r="B53">
        <v>2</v>
      </c>
      <c r="C53">
        <v>1510.65</v>
      </c>
      <c r="D53">
        <v>58.431986789098467</v>
      </c>
      <c r="E53">
        <v>511</v>
      </c>
      <c r="F53">
        <v>0</v>
      </c>
      <c r="G53">
        <v>84452.907851394688</v>
      </c>
    </row>
    <row r="54" spans="1:7" x14ac:dyDescent="0.35">
      <c r="A54">
        <v>53</v>
      </c>
      <c r="B54">
        <v>6</v>
      </c>
      <c r="C54">
        <v>1762.87</v>
      </c>
      <c r="D54">
        <v>52.280619182678123</v>
      </c>
      <c r="E54">
        <v>917</v>
      </c>
      <c r="F54">
        <v>1</v>
      </c>
      <c r="G54">
        <v>87377.936935763224</v>
      </c>
    </row>
    <row r="55" spans="1:7" x14ac:dyDescent="0.35">
      <c r="A55">
        <v>54</v>
      </c>
      <c r="B55">
        <v>9</v>
      </c>
      <c r="C55">
        <v>1663.86</v>
      </c>
      <c r="D55">
        <v>6.9464096118787779</v>
      </c>
      <c r="E55">
        <v>980</v>
      </c>
      <c r="F55">
        <v>1</v>
      </c>
      <c r="G55">
        <v>94296.604919722115</v>
      </c>
    </row>
    <row r="56" spans="1:7" x14ac:dyDescent="0.35">
      <c r="A56">
        <v>55</v>
      </c>
      <c r="B56">
        <v>8</v>
      </c>
      <c r="C56">
        <v>1269.31</v>
      </c>
      <c r="D56">
        <v>68.737209051442022</v>
      </c>
      <c r="E56">
        <v>833</v>
      </c>
      <c r="F56">
        <v>1</v>
      </c>
      <c r="G56">
        <v>80295.240232234268</v>
      </c>
    </row>
    <row r="57" spans="1:7" x14ac:dyDescent="0.35">
      <c r="A57">
        <v>56</v>
      </c>
      <c r="B57">
        <v>2</v>
      </c>
      <c r="C57">
        <v>1587.91</v>
      </c>
      <c r="D57">
        <v>22.111386306604214</v>
      </c>
      <c r="E57">
        <v>935</v>
      </c>
      <c r="F57">
        <v>1</v>
      </c>
      <c r="G57">
        <v>77471.771466600665</v>
      </c>
    </row>
    <row r="58" spans="1:7" x14ac:dyDescent="0.35">
      <c r="A58">
        <v>57</v>
      </c>
      <c r="B58">
        <v>2</v>
      </c>
      <c r="C58">
        <v>1456.43</v>
      </c>
      <c r="D58">
        <v>20.906568754437313</v>
      </c>
      <c r="E58">
        <v>985</v>
      </c>
      <c r="F58">
        <v>0</v>
      </c>
      <c r="G58">
        <v>67768.644503664065</v>
      </c>
    </row>
    <row r="59" spans="1:7" x14ac:dyDescent="0.35">
      <c r="A59">
        <v>58</v>
      </c>
      <c r="B59">
        <v>6</v>
      </c>
      <c r="C59">
        <v>1080.1500000000001</v>
      </c>
      <c r="D59">
        <v>95.669378575937714</v>
      </c>
      <c r="E59">
        <v>916</v>
      </c>
      <c r="F59">
        <v>0</v>
      </c>
      <c r="G59">
        <v>74064.859818793295</v>
      </c>
    </row>
    <row r="60" spans="1:7" x14ac:dyDescent="0.35">
      <c r="A60">
        <v>59</v>
      </c>
      <c r="B60">
        <v>5</v>
      </c>
      <c r="C60">
        <v>1932.41</v>
      </c>
      <c r="D60">
        <v>62.028722378206339</v>
      </c>
      <c r="E60">
        <v>903</v>
      </c>
      <c r="F60">
        <v>0</v>
      </c>
      <c r="G60">
        <v>101895.42687320373</v>
      </c>
    </row>
    <row r="61" spans="1:7" x14ac:dyDescent="0.35">
      <c r="A61">
        <v>60</v>
      </c>
      <c r="B61">
        <v>3</v>
      </c>
      <c r="C61">
        <v>1754.56</v>
      </c>
      <c r="D61">
        <v>36.993831849737802</v>
      </c>
      <c r="E61">
        <v>907</v>
      </c>
      <c r="F61">
        <v>0</v>
      </c>
      <c r="G61">
        <v>82461.873576361337</v>
      </c>
    </row>
    <row r="62" spans="1:7" x14ac:dyDescent="0.35">
      <c r="A62">
        <v>61</v>
      </c>
      <c r="B62">
        <v>10</v>
      </c>
      <c r="C62">
        <v>1358.49</v>
      </c>
      <c r="D62">
        <v>50.149529481310353</v>
      </c>
      <c r="E62">
        <v>733</v>
      </c>
      <c r="F62">
        <v>1</v>
      </c>
      <c r="G62">
        <v>82877.827570805297</v>
      </c>
    </row>
    <row r="63" spans="1:7" x14ac:dyDescent="0.35">
      <c r="A63">
        <v>62</v>
      </c>
      <c r="B63">
        <v>6</v>
      </c>
      <c r="C63">
        <v>1787.77</v>
      </c>
      <c r="D63">
        <v>61.803948765609746</v>
      </c>
      <c r="E63">
        <v>1010</v>
      </c>
      <c r="F63">
        <v>0</v>
      </c>
      <c r="G63">
        <v>114257.2368664114</v>
      </c>
    </row>
    <row r="64" spans="1:7" x14ac:dyDescent="0.35">
      <c r="A64">
        <v>63</v>
      </c>
      <c r="B64">
        <v>7</v>
      </c>
      <c r="C64">
        <v>1412.06</v>
      </c>
      <c r="D64">
        <v>28.05671345506785</v>
      </c>
      <c r="E64">
        <v>559</v>
      </c>
      <c r="F64">
        <v>1</v>
      </c>
      <c r="G64">
        <v>71761.345037044768</v>
      </c>
    </row>
    <row r="65" spans="1:7" x14ac:dyDescent="0.35">
      <c r="A65">
        <v>64</v>
      </c>
      <c r="B65">
        <v>7</v>
      </c>
      <c r="C65">
        <v>1275.96</v>
      </c>
      <c r="D65">
        <v>44.191635686276371</v>
      </c>
      <c r="E65">
        <v>729</v>
      </c>
      <c r="F65">
        <v>0</v>
      </c>
      <c r="G65">
        <v>57306.734386569762</v>
      </c>
    </row>
    <row r="66" spans="1:7" x14ac:dyDescent="0.35">
      <c r="A66">
        <v>65</v>
      </c>
      <c r="B66">
        <v>7</v>
      </c>
      <c r="C66">
        <v>1268.45</v>
      </c>
      <c r="D66">
        <v>86.911894369800166</v>
      </c>
      <c r="E66">
        <v>746</v>
      </c>
      <c r="F66">
        <v>1</v>
      </c>
      <c r="G66">
        <v>72269.107977124382</v>
      </c>
    </row>
    <row r="67" spans="1:7" x14ac:dyDescent="0.35">
      <c r="A67">
        <v>66</v>
      </c>
      <c r="B67">
        <v>5</v>
      </c>
      <c r="C67">
        <v>1741.89</v>
      </c>
      <c r="D67">
        <v>41.574293433440801</v>
      </c>
      <c r="E67">
        <v>735</v>
      </c>
      <c r="F67">
        <v>0</v>
      </c>
      <c r="G67">
        <v>89237.66988317958</v>
      </c>
    </row>
    <row r="68" spans="1:7" x14ac:dyDescent="0.35">
      <c r="A68">
        <v>67</v>
      </c>
      <c r="B68">
        <v>4</v>
      </c>
      <c r="C68">
        <v>1372.68</v>
      </c>
      <c r="D68">
        <v>61.769695950580825</v>
      </c>
      <c r="E68">
        <v>640</v>
      </c>
      <c r="F68">
        <v>0</v>
      </c>
      <c r="G68">
        <v>80625.955173674185</v>
      </c>
    </row>
    <row r="69" spans="1:7" x14ac:dyDescent="0.35">
      <c r="A69">
        <v>68</v>
      </c>
      <c r="B69">
        <v>2</v>
      </c>
      <c r="C69">
        <v>1355.4</v>
      </c>
      <c r="D69">
        <v>55.661100410356163</v>
      </c>
      <c r="E69">
        <v>874</v>
      </c>
      <c r="F69">
        <v>1</v>
      </c>
      <c r="G69">
        <v>75021.430961394493</v>
      </c>
    </row>
    <row r="70" spans="1:7" x14ac:dyDescent="0.35">
      <c r="A70">
        <v>69</v>
      </c>
      <c r="B70">
        <v>4</v>
      </c>
      <c r="C70">
        <v>1947.1</v>
      </c>
      <c r="D70">
        <v>83.109201292000961</v>
      </c>
      <c r="E70">
        <v>1016</v>
      </c>
      <c r="F70">
        <v>1</v>
      </c>
      <c r="G70">
        <v>91644.130572426919</v>
      </c>
    </row>
    <row r="71" spans="1:7" x14ac:dyDescent="0.35">
      <c r="A71">
        <v>70</v>
      </c>
      <c r="B71">
        <v>10</v>
      </c>
      <c r="C71">
        <v>1638.38</v>
      </c>
      <c r="D71">
        <v>50.523196821951657</v>
      </c>
      <c r="E71">
        <v>720</v>
      </c>
      <c r="F71">
        <v>0</v>
      </c>
      <c r="G71">
        <v>94854.860158612442</v>
      </c>
    </row>
    <row r="72" spans="1:7" x14ac:dyDescent="0.35">
      <c r="A72">
        <v>71</v>
      </c>
      <c r="B72">
        <v>6</v>
      </c>
      <c r="C72">
        <v>1624.01</v>
      </c>
      <c r="D72">
        <v>30.693580066416978</v>
      </c>
      <c r="E72">
        <v>914</v>
      </c>
      <c r="F72">
        <v>1</v>
      </c>
      <c r="G72">
        <v>89137.610075603661</v>
      </c>
    </row>
    <row r="73" spans="1:7" x14ac:dyDescent="0.35">
      <c r="A73">
        <v>72</v>
      </c>
      <c r="B73">
        <v>10</v>
      </c>
      <c r="C73">
        <v>1862.65</v>
      </c>
      <c r="D73">
        <v>90.494536631895372</v>
      </c>
      <c r="E73">
        <v>672</v>
      </c>
      <c r="F73">
        <v>0</v>
      </c>
      <c r="G73">
        <v>111880.37594012465</v>
      </c>
    </row>
    <row r="74" spans="1:7" x14ac:dyDescent="0.35">
      <c r="A74">
        <v>73</v>
      </c>
      <c r="B74">
        <v>7</v>
      </c>
      <c r="C74">
        <v>1143.67</v>
      </c>
      <c r="D74">
        <v>38.951646543261191</v>
      </c>
      <c r="E74">
        <v>741</v>
      </c>
      <c r="F74">
        <v>1</v>
      </c>
      <c r="G74">
        <v>56925.03814218381</v>
      </c>
    </row>
    <row r="75" spans="1:7" x14ac:dyDescent="0.35">
      <c r="A75">
        <v>74</v>
      </c>
      <c r="B75">
        <v>7</v>
      </c>
      <c r="C75">
        <v>1084.4100000000001</v>
      </c>
      <c r="D75">
        <v>70.409265575155032</v>
      </c>
      <c r="E75">
        <v>773</v>
      </c>
      <c r="F75">
        <v>0</v>
      </c>
      <c r="G75">
        <v>65296.254320752319</v>
      </c>
    </row>
    <row r="76" spans="1:7" x14ac:dyDescent="0.35">
      <c r="A76">
        <v>75</v>
      </c>
      <c r="B76">
        <v>8</v>
      </c>
      <c r="C76">
        <v>1753.93</v>
      </c>
      <c r="D76">
        <v>53.460376898151104</v>
      </c>
      <c r="E76">
        <v>678</v>
      </c>
      <c r="F76">
        <v>0</v>
      </c>
      <c r="G76">
        <v>95753.639838548261</v>
      </c>
    </row>
    <row r="77" spans="1:7" x14ac:dyDescent="0.35">
      <c r="A77">
        <v>76</v>
      </c>
      <c r="B77">
        <v>10</v>
      </c>
      <c r="C77">
        <v>1976.04</v>
      </c>
      <c r="D77">
        <v>68.758577583734791</v>
      </c>
      <c r="E77">
        <v>678</v>
      </c>
      <c r="F77">
        <v>0</v>
      </c>
      <c r="G77">
        <v>108823.35413070848</v>
      </c>
    </row>
    <row r="78" spans="1:7" x14ac:dyDescent="0.35">
      <c r="A78">
        <v>77</v>
      </c>
      <c r="B78">
        <v>6</v>
      </c>
      <c r="C78">
        <v>1174</v>
      </c>
      <c r="D78">
        <v>63.572291101304792</v>
      </c>
      <c r="E78">
        <v>983</v>
      </c>
      <c r="F78">
        <v>0</v>
      </c>
      <c r="G78">
        <v>64350.1846096351</v>
      </c>
    </row>
    <row r="79" spans="1:7" x14ac:dyDescent="0.35">
      <c r="A79">
        <v>78</v>
      </c>
      <c r="B79">
        <v>4</v>
      </c>
      <c r="C79">
        <v>1705.6</v>
      </c>
      <c r="D79">
        <v>37.898592223177744</v>
      </c>
      <c r="E79">
        <v>1045</v>
      </c>
      <c r="F79">
        <v>0</v>
      </c>
      <c r="G79">
        <v>98533.867530710646</v>
      </c>
    </row>
    <row r="80" spans="1:7" x14ac:dyDescent="0.35">
      <c r="A80">
        <v>79</v>
      </c>
      <c r="B80">
        <v>5</v>
      </c>
      <c r="C80">
        <v>1492.95</v>
      </c>
      <c r="D80">
        <v>46.416079238227219</v>
      </c>
      <c r="E80">
        <v>1027</v>
      </c>
      <c r="F80">
        <v>1</v>
      </c>
      <c r="G80">
        <v>86414.62910534002</v>
      </c>
    </row>
    <row r="81" spans="1:7" x14ac:dyDescent="0.35">
      <c r="A81">
        <v>80</v>
      </c>
      <c r="B81">
        <v>4</v>
      </c>
      <c r="C81">
        <v>1068.3499999999999</v>
      </c>
      <c r="D81">
        <v>11.073339884851507</v>
      </c>
      <c r="E81">
        <v>890</v>
      </c>
      <c r="F81">
        <v>1</v>
      </c>
      <c r="G81">
        <v>66320.722208309598</v>
      </c>
    </row>
    <row r="82" spans="1:7" x14ac:dyDescent="0.35">
      <c r="A82">
        <v>81</v>
      </c>
      <c r="B82">
        <v>6</v>
      </c>
      <c r="C82">
        <v>1074.3800000000001</v>
      </c>
      <c r="D82">
        <v>54.390179912838519</v>
      </c>
      <c r="E82">
        <v>648</v>
      </c>
      <c r="F82">
        <v>0</v>
      </c>
      <c r="G82">
        <v>61846.020610217136</v>
      </c>
    </row>
    <row r="83" spans="1:7" x14ac:dyDescent="0.35">
      <c r="A83">
        <v>82</v>
      </c>
      <c r="B83">
        <v>2</v>
      </c>
      <c r="C83">
        <v>1212.94</v>
      </c>
      <c r="D83">
        <v>48.027423456834427</v>
      </c>
      <c r="E83">
        <v>592</v>
      </c>
      <c r="F83">
        <v>0</v>
      </c>
      <c r="G83">
        <v>76459.866473066431</v>
      </c>
    </row>
    <row r="84" spans="1:7" x14ac:dyDescent="0.35">
      <c r="A84">
        <v>83</v>
      </c>
      <c r="B84">
        <v>7</v>
      </c>
      <c r="C84">
        <v>1172.42</v>
      </c>
      <c r="D84">
        <v>28.006338661819406</v>
      </c>
      <c r="E84">
        <v>532</v>
      </c>
      <c r="F84">
        <v>1</v>
      </c>
      <c r="G84">
        <v>68865.107934945336</v>
      </c>
    </row>
    <row r="85" spans="1:7" x14ac:dyDescent="0.35">
      <c r="A85">
        <v>84</v>
      </c>
      <c r="B85">
        <v>2</v>
      </c>
      <c r="C85">
        <v>1294.45</v>
      </c>
      <c r="D85">
        <v>28.736713389702501</v>
      </c>
      <c r="E85">
        <v>785</v>
      </c>
      <c r="F85">
        <v>1</v>
      </c>
      <c r="G85">
        <v>87635.770160379718</v>
      </c>
    </row>
    <row r="86" spans="1:7" x14ac:dyDescent="0.35">
      <c r="A86">
        <v>85</v>
      </c>
      <c r="B86">
        <v>7</v>
      </c>
      <c r="C86">
        <v>1887.45</v>
      </c>
      <c r="D86">
        <v>43.620905804219198</v>
      </c>
      <c r="E86">
        <v>998</v>
      </c>
      <c r="F86">
        <v>0</v>
      </c>
      <c r="G86">
        <v>109347.37745001061</v>
      </c>
    </row>
    <row r="87" spans="1:7" x14ac:dyDescent="0.35">
      <c r="A87">
        <v>86</v>
      </c>
      <c r="B87">
        <v>4</v>
      </c>
      <c r="C87">
        <v>1770.95</v>
      </c>
      <c r="D87">
        <v>83.095828740679707</v>
      </c>
      <c r="E87">
        <v>683</v>
      </c>
      <c r="F87">
        <v>0</v>
      </c>
      <c r="G87">
        <v>80287.706390542618</v>
      </c>
    </row>
    <row r="88" spans="1:7" x14ac:dyDescent="0.35">
      <c r="A88">
        <v>87</v>
      </c>
      <c r="B88">
        <v>8</v>
      </c>
      <c r="C88">
        <v>1640.56</v>
      </c>
      <c r="D88">
        <v>55.885167962339445</v>
      </c>
      <c r="E88">
        <v>799</v>
      </c>
      <c r="F88">
        <v>1</v>
      </c>
      <c r="G88">
        <v>96563.047831770193</v>
      </c>
    </row>
    <row r="89" spans="1:7" x14ac:dyDescent="0.35">
      <c r="A89">
        <v>88</v>
      </c>
      <c r="B89">
        <v>3</v>
      </c>
      <c r="C89">
        <v>1193.76</v>
      </c>
      <c r="D89">
        <v>63.922763199812529</v>
      </c>
      <c r="E89">
        <v>707</v>
      </c>
      <c r="F89">
        <v>1</v>
      </c>
      <c r="G89">
        <v>65772.885918803644</v>
      </c>
    </row>
    <row r="90" spans="1:7" x14ac:dyDescent="0.35">
      <c r="A90">
        <v>89</v>
      </c>
      <c r="B90">
        <v>7</v>
      </c>
      <c r="C90">
        <v>1461.02</v>
      </c>
      <c r="D90">
        <v>30.925992665182278</v>
      </c>
      <c r="E90">
        <v>723</v>
      </c>
      <c r="F90">
        <v>0</v>
      </c>
      <c r="G90">
        <v>95005.424916535005</v>
      </c>
    </row>
    <row r="91" spans="1:7" x14ac:dyDescent="0.35">
      <c r="A91">
        <v>90</v>
      </c>
      <c r="B91">
        <v>2</v>
      </c>
      <c r="C91">
        <v>1520.34</v>
      </c>
      <c r="D91">
        <v>44.857050139806937</v>
      </c>
      <c r="E91">
        <v>865</v>
      </c>
      <c r="F91">
        <v>1</v>
      </c>
      <c r="G91">
        <v>98665.365038782213</v>
      </c>
    </row>
    <row r="92" spans="1:7" x14ac:dyDescent="0.35">
      <c r="A92">
        <v>91</v>
      </c>
      <c r="B92">
        <v>5</v>
      </c>
      <c r="C92">
        <v>1213.8399999999999</v>
      </c>
      <c r="D92">
        <v>61.640513226832937</v>
      </c>
      <c r="E92">
        <v>953</v>
      </c>
      <c r="F92">
        <v>0</v>
      </c>
      <c r="G92">
        <v>81810.484863909674</v>
      </c>
    </row>
    <row r="93" spans="1:7" x14ac:dyDescent="0.35">
      <c r="A93">
        <v>92</v>
      </c>
      <c r="B93">
        <v>2</v>
      </c>
      <c r="C93">
        <v>1694.19</v>
      </c>
      <c r="D93">
        <v>44.326082271194842</v>
      </c>
      <c r="E93">
        <v>994</v>
      </c>
      <c r="F93">
        <v>0</v>
      </c>
      <c r="G93">
        <v>85171.782708919287</v>
      </c>
    </row>
    <row r="94" spans="1:7" x14ac:dyDescent="0.35">
      <c r="A94">
        <v>93</v>
      </c>
      <c r="B94">
        <v>5</v>
      </c>
      <c r="C94">
        <v>1902</v>
      </c>
      <c r="D94">
        <v>34.554269460205219</v>
      </c>
      <c r="E94">
        <v>1052</v>
      </c>
      <c r="F94">
        <v>0</v>
      </c>
      <c r="G94">
        <v>86395.589856568142</v>
      </c>
    </row>
    <row r="95" spans="1:7" x14ac:dyDescent="0.35">
      <c r="A95">
        <v>94</v>
      </c>
      <c r="B95">
        <v>2</v>
      </c>
      <c r="C95">
        <v>1246.8599999999999</v>
      </c>
      <c r="D95">
        <v>57.368794059272439</v>
      </c>
      <c r="E95">
        <v>1050</v>
      </c>
      <c r="F95">
        <v>0</v>
      </c>
      <c r="G95">
        <v>73973.582635887753</v>
      </c>
    </row>
    <row r="96" spans="1:7" x14ac:dyDescent="0.35">
      <c r="A96">
        <v>95</v>
      </c>
      <c r="B96">
        <v>5</v>
      </c>
      <c r="C96">
        <v>1719.83</v>
      </c>
      <c r="D96">
        <v>46.861074097742112</v>
      </c>
      <c r="E96">
        <v>775</v>
      </c>
      <c r="F96">
        <v>0</v>
      </c>
      <c r="G96">
        <v>106731.80716617229</v>
      </c>
    </row>
    <row r="97" spans="1:7" x14ac:dyDescent="0.35">
      <c r="A97">
        <v>96</v>
      </c>
      <c r="B97">
        <v>8</v>
      </c>
      <c r="C97">
        <v>1787.79</v>
      </c>
      <c r="D97">
        <v>57.819866651681238</v>
      </c>
      <c r="E97">
        <v>593</v>
      </c>
      <c r="F97">
        <v>1</v>
      </c>
      <c r="G97">
        <v>105225.20906339721</v>
      </c>
    </row>
    <row r="98" spans="1:7" x14ac:dyDescent="0.35">
      <c r="A98">
        <v>97</v>
      </c>
      <c r="B98">
        <v>9</v>
      </c>
      <c r="C98">
        <v>1009.29</v>
      </c>
      <c r="D98">
        <v>49.835061394123102</v>
      </c>
      <c r="E98">
        <v>1013</v>
      </c>
      <c r="F98">
        <v>0</v>
      </c>
      <c r="G98">
        <v>58981.686758064374</v>
      </c>
    </row>
    <row r="99" spans="1:7" x14ac:dyDescent="0.35">
      <c r="A99">
        <v>98</v>
      </c>
      <c r="B99">
        <v>7</v>
      </c>
      <c r="C99">
        <v>1507.99</v>
      </c>
      <c r="D99">
        <v>45.769580971102776</v>
      </c>
      <c r="E99">
        <v>907</v>
      </c>
      <c r="F99">
        <v>0</v>
      </c>
      <c r="G99">
        <v>77595.854945392028</v>
      </c>
    </row>
    <row r="100" spans="1:7" x14ac:dyDescent="0.35">
      <c r="A100">
        <v>99</v>
      </c>
      <c r="B100">
        <v>8</v>
      </c>
      <c r="C100">
        <v>1605.57</v>
      </c>
      <c r="D100">
        <v>41.412576660230535</v>
      </c>
      <c r="E100">
        <v>552</v>
      </c>
      <c r="F100">
        <v>0</v>
      </c>
      <c r="G100">
        <v>92063.094806396184</v>
      </c>
    </row>
    <row r="101" spans="1:7" x14ac:dyDescent="0.35">
      <c r="A101">
        <v>100</v>
      </c>
      <c r="B101">
        <v>9</v>
      </c>
      <c r="C101">
        <v>1580.9</v>
      </c>
      <c r="D101">
        <v>92.190184069841962</v>
      </c>
      <c r="E101">
        <v>512</v>
      </c>
      <c r="F101">
        <v>0</v>
      </c>
      <c r="G101">
        <v>99418.024971382067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7693-4F16-4B9A-87B8-A426E39AFC1E}">
  <dimension ref="A2:H118"/>
  <sheetViews>
    <sheetView tabSelected="1" zoomScaleNormal="100" workbookViewId="0">
      <selection activeCell="G11" sqref="G11"/>
    </sheetView>
  </sheetViews>
  <sheetFormatPr baseColWidth="10" defaultColWidth="8.7265625" defaultRowHeight="14.5" x14ac:dyDescent="0.35"/>
  <cols>
    <col min="2" max="5" width="10.1796875" customWidth="1"/>
  </cols>
  <sheetData>
    <row r="2" spans="1:8" x14ac:dyDescent="0.35">
      <c r="A2" t="s">
        <v>0</v>
      </c>
    </row>
    <row r="3" spans="1:8" x14ac:dyDescent="0.35">
      <c r="A3" t="s">
        <v>13</v>
      </c>
      <c r="B3">
        <v>10000</v>
      </c>
    </row>
    <row r="4" spans="1:8" x14ac:dyDescent="0.35">
      <c r="A4" t="s">
        <v>8</v>
      </c>
      <c r="B4">
        <v>100</v>
      </c>
    </row>
    <row r="5" spans="1:8" x14ac:dyDescent="0.35">
      <c r="A5" t="s">
        <v>9</v>
      </c>
      <c r="B5">
        <v>50</v>
      </c>
    </row>
    <row r="6" spans="1:8" x14ac:dyDescent="0.35">
      <c r="A6" t="s">
        <v>10</v>
      </c>
      <c r="B6">
        <v>-20</v>
      </c>
    </row>
    <row r="7" spans="1:8" x14ac:dyDescent="0.35">
      <c r="A7" t="s">
        <v>11</v>
      </c>
      <c r="B7">
        <v>0</v>
      </c>
    </row>
    <row r="8" spans="1:8" x14ac:dyDescent="0.35">
      <c r="A8" t="s">
        <v>12</v>
      </c>
      <c r="B8">
        <v>100</v>
      </c>
    </row>
    <row r="10" spans="1:8" x14ac:dyDescent="0.35">
      <c r="A10" t="s">
        <v>6</v>
      </c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14</v>
      </c>
      <c r="H10" t="s">
        <v>5</v>
      </c>
    </row>
    <row r="11" spans="1:8" x14ac:dyDescent="0.35">
      <c r="A11">
        <v>1</v>
      </c>
      <c r="B11">
        <f ca="1">RANDBETWEEN(2,10)</f>
        <v>9</v>
      </c>
      <c r="C11">
        <f ca="1">ROUND(RAND()*1000+1000,2)</f>
        <v>1114.1300000000001</v>
      </c>
      <c r="D11" s="1">
        <f ca="1">_xlfn.NORM.INV(RAND(),50,20)</f>
        <v>54.752066095140904</v>
      </c>
      <c r="E11">
        <f ca="1">RANDBETWEEN(500,1070)</f>
        <v>918</v>
      </c>
      <c r="F11">
        <f ca="1">IF(RAND()&lt;=0.5,0,1)</f>
        <v>1</v>
      </c>
      <c r="G11">
        <f ca="1">_xlfn.NORM.INV(RAND(),0,10000)</f>
        <v>-21.42774217654188</v>
      </c>
      <c r="H11" cm="1">
        <f t="array" aca="1" ref="H11" ca="1">SUMPRODUCT(TRANSPOSE($B$4:$B$8),B11:F11)+$B$3+G11</f>
        <v>65590.030935920644</v>
      </c>
    </row>
    <row r="12" spans="1:8" x14ac:dyDescent="0.35">
      <c r="A12">
        <v>2</v>
      </c>
      <c r="B12">
        <f t="shared" ref="B12:B110" ca="1" si="0">RANDBETWEEN(2,10)</f>
        <v>6</v>
      </c>
      <c r="C12">
        <f t="shared" ref="C12:C110" ca="1" si="1">ROUND(RAND()*1000+1000,2)</f>
        <v>1874.43</v>
      </c>
      <c r="D12" s="1">
        <f t="shared" ref="D12:D110" ca="1" si="2">_xlfn.NORM.INV(RAND(),50,20)</f>
        <v>29.437587158099948</v>
      </c>
      <c r="E12">
        <f t="shared" ref="E12:E110" ca="1" si="3">RANDBETWEEN(500,1070)</f>
        <v>572</v>
      </c>
      <c r="F12">
        <f t="shared" ref="F12:F110" ca="1" si="4">IF(RAND()&lt;=0.5,0,1)</f>
        <v>0</v>
      </c>
      <c r="G12">
        <f t="shared" ref="G12:G75" ca="1" si="5">_xlfn.NORM.INV(RAND(),0,10000)</f>
        <v>6584.940540564864</v>
      </c>
      <c r="H12" cm="1">
        <f t="array" aca="1" ref="H12" ca="1">SUMPRODUCT(TRANSPOSE($B$4:$B$8),B12:F12)+$B$3+G12</f>
        <v>110317.68879740287</v>
      </c>
    </row>
    <row r="13" spans="1:8" x14ac:dyDescent="0.35">
      <c r="A13">
        <v>3</v>
      </c>
      <c r="B13">
        <f t="shared" ca="1" si="0"/>
        <v>3</v>
      </c>
      <c r="C13">
        <f t="shared" ca="1" si="1"/>
        <v>1551.64</v>
      </c>
      <c r="D13" s="1">
        <f t="shared" ca="1" si="2"/>
        <v>42.319356131393562</v>
      </c>
      <c r="E13">
        <f t="shared" ca="1" si="3"/>
        <v>770</v>
      </c>
      <c r="F13">
        <f t="shared" ca="1" si="4"/>
        <v>1</v>
      </c>
      <c r="G13">
        <f t="shared" ca="1" si="5"/>
        <v>3326.4941118713004</v>
      </c>
      <c r="H13" cm="1">
        <f t="array" aca="1" ref="H13" ca="1">SUMPRODUCT(TRANSPOSE($B$4:$B$8),B13:F13)+$B$3+G13</f>
        <v>90462.106989243432</v>
      </c>
    </row>
    <row r="14" spans="1:8" x14ac:dyDescent="0.35">
      <c r="A14">
        <v>4</v>
      </c>
      <c r="B14">
        <f t="shared" ca="1" si="0"/>
        <v>9</v>
      </c>
      <c r="C14">
        <f t="shared" ca="1" si="1"/>
        <v>1083.01</v>
      </c>
      <c r="D14" s="1">
        <f t="shared" ca="1" si="2"/>
        <v>37.880892667538582</v>
      </c>
      <c r="E14">
        <f t="shared" ca="1" si="3"/>
        <v>857</v>
      </c>
      <c r="F14">
        <f t="shared" ca="1" si="4"/>
        <v>1</v>
      </c>
      <c r="G14">
        <f t="shared" ca="1" si="5"/>
        <v>11295.002480079051</v>
      </c>
      <c r="H14" cm="1">
        <f t="array" aca="1" ref="H14" ca="1">SUMPRODUCT(TRANSPOSE($B$4:$B$8),B14:F14)+$B$3+G14</f>
        <v>75687.884626728279</v>
      </c>
    </row>
    <row r="15" spans="1:8" x14ac:dyDescent="0.35">
      <c r="A15">
        <v>5</v>
      </c>
      <c r="B15">
        <f t="shared" ca="1" si="0"/>
        <v>5</v>
      </c>
      <c r="C15">
        <f t="shared" ca="1" si="1"/>
        <v>1106.07</v>
      </c>
      <c r="D15" s="1">
        <f t="shared" ca="1" si="2"/>
        <v>91.130919226746101</v>
      </c>
      <c r="E15">
        <f t="shared" ca="1" si="3"/>
        <v>634</v>
      </c>
      <c r="F15">
        <f t="shared" ca="1" si="4"/>
        <v>1</v>
      </c>
      <c r="G15">
        <f t="shared" ca="1" si="5"/>
        <v>-9873.6413399013109</v>
      </c>
      <c r="H15" cm="1">
        <f t="array" aca="1" ref="H15" ca="1">SUMPRODUCT(TRANSPOSE($B$4:$B$8),B15:F15)+$B$3+G15</f>
        <v>54207.240275563767</v>
      </c>
    </row>
    <row r="16" spans="1:8" x14ac:dyDescent="0.35">
      <c r="A16">
        <v>6</v>
      </c>
      <c r="B16">
        <f t="shared" ca="1" si="0"/>
        <v>4</v>
      </c>
      <c r="C16">
        <f t="shared" ca="1" si="1"/>
        <v>1776.7</v>
      </c>
      <c r="D16" s="1">
        <f t="shared" ca="1" si="2"/>
        <v>43.61493703368258</v>
      </c>
      <c r="E16">
        <f t="shared" ca="1" si="3"/>
        <v>695</v>
      </c>
      <c r="F16">
        <f t="shared" ca="1" si="4"/>
        <v>1</v>
      </c>
      <c r="G16">
        <f t="shared" ca="1" si="5"/>
        <v>2380.0016255713917</v>
      </c>
      <c r="H16" cm="1">
        <f t="array" aca="1" ref="H16" ca="1">SUMPRODUCT(TRANSPOSE($B$4:$B$8),B16:F16)+$B$3+G16</f>
        <v>100842.70288489774</v>
      </c>
    </row>
    <row r="17" spans="1:8" x14ac:dyDescent="0.35">
      <c r="A17">
        <v>7</v>
      </c>
      <c r="B17">
        <f t="shared" ca="1" si="0"/>
        <v>10</v>
      </c>
      <c r="C17">
        <f t="shared" ca="1" si="1"/>
        <v>1186.1600000000001</v>
      </c>
      <c r="D17" s="1">
        <f t="shared" ca="1" si="2"/>
        <v>43.250678502605588</v>
      </c>
      <c r="E17">
        <f t="shared" ca="1" si="3"/>
        <v>531</v>
      </c>
      <c r="F17">
        <f t="shared" ca="1" si="4"/>
        <v>1</v>
      </c>
      <c r="G17">
        <f t="shared" ca="1" si="5"/>
        <v>5307.0768346017931</v>
      </c>
      <c r="H17" cm="1">
        <f t="array" aca="1" ref="H17" ca="1">SUMPRODUCT(TRANSPOSE($B$4:$B$8),B17:F17)+$B$3+G17</f>
        <v>74850.063264549681</v>
      </c>
    </row>
    <row r="18" spans="1:8" x14ac:dyDescent="0.35">
      <c r="A18">
        <v>8</v>
      </c>
      <c r="B18">
        <f t="shared" ca="1" si="0"/>
        <v>3</v>
      </c>
      <c r="C18">
        <f t="shared" ca="1" si="1"/>
        <v>1616.94</v>
      </c>
      <c r="D18" s="1">
        <f t="shared" ca="1" si="2"/>
        <v>43.594577409119303</v>
      </c>
      <c r="E18">
        <f t="shared" ca="1" si="3"/>
        <v>1060</v>
      </c>
      <c r="F18">
        <f t="shared" ca="1" si="4"/>
        <v>1</v>
      </c>
      <c r="G18">
        <f t="shared" ca="1" si="5"/>
        <v>-2927.2636231469501</v>
      </c>
      <c r="H18" cm="1">
        <f t="array" aca="1" ref="H18" ca="1">SUMPRODUCT(TRANSPOSE($B$4:$B$8),B18:F18)+$B$3+G18</f>
        <v>87447.84482867067</v>
      </c>
    </row>
    <row r="19" spans="1:8" x14ac:dyDescent="0.35">
      <c r="A19">
        <v>9</v>
      </c>
      <c r="B19">
        <f t="shared" ca="1" si="0"/>
        <v>6</v>
      </c>
      <c r="C19">
        <f t="shared" ca="1" si="1"/>
        <v>1715.07</v>
      </c>
      <c r="D19" s="1">
        <f t="shared" ca="1" si="2"/>
        <v>92.873975019371969</v>
      </c>
      <c r="E19">
        <f t="shared" ca="1" si="3"/>
        <v>566</v>
      </c>
      <c r="F19">
        <f t="shared" ca="1" si="4"/>
        <v>0</v>
      </c>
      <c r="G19">
        <f t="shared" ca="1" si="5"/>
        <v>14510.762321987035</v>
      </c>
      <c r="H19" cm="1">
        <f t="array" aca="1" ref="H19" ca="1">SUMPRODUCT(TRANSPOSE($B$4:$B$8),B19:F19)+$B$3+G19</f>
        <v>109006.78282159958</v>
      </c>
    </row>
    <row r="20" spans="1:8" x14ac:dyDescent="0.35">
      <c r="A20">
        <v>10</v>
      </c>
      <c r="B20">
        <f t="shared" ca="1" si="0"/>
        <v>7</v>
      </c>
      <c r="C20">
        <f t="shared" ca="1" si="1"/>
        <v>1782.48</v>
      </c>
      <c r="D20" s="1">
        <f t="shared" ca="1" si="2"/>
        <v>41.973267377706918</v>
      </c>
      <c r="E20">
        <f t="shared" ca="1" si="3"/>
        <v>561</v>
      </c>
      <c r="F20">
        <f t="shared" ca="1" si="4"/>
        <v>1</v>
      </c>
      <c r="G20">
        <f t="shared" ca="1" si="5"/>
        <v>-5388.6193561989267</v>
      </c>
      <c r="H20" cm="1">
        <f t="array" aca="1" ref="H20" ca="1">SUMPRODUCT(TRANSPOSE($B$4:$B$8),B20:F20)+$B$3+G20</f>
        <v>93695.915296246938</v>
      </c>
    </row>
    <row r="21" spans="1:8" x14ac:dyDescent="0.35">
      <c r="A21">
        <v>11</v>
      </c>
      <c r="B21">
        <f t="shared" ca="1" si="0"/>
        <v>2</v>
      </c>
      <c r="C21">
        <f t="shared" ca="1" si="1"/>
        <v>1779.45</v>
      </c>
      <c r="D21" s="1">
        <f t="shared" ca="1" si="2"/>
        <v>19.932842739764787</v>
      </c>
      <c r="E21">
        <f t="shared" ca="1" si="3"/>
        <v>624</v>
      </c>
      <c r="F21">
        <f t="shared" ca="1" si="4"/>
        <v>1</v>
      </c>
      <c r="G21">
        <f t="shared" ca="1" si="5"/>
        <v>1300.1752817564891</v>
      </c>
      <c r="H21" cm="1">
        <f t="array" aca="1" ref="H21" ca="1">SUMPRODUCT(TRANSPOSE($B$4:$B$8),B21:F21)+$B$3+G21</f>
        <v>100174.01842696119</v>
      </c>
    </row>
    <row r="22" spans="1:8" x14ac:dyDescent="0.35">
      <c r="A22">
        <v>12</v>
      </c>
      <c r="B22">
        <f t="shared" ca="1" si="0"/>
        <v>5</v>
      </c>
      <c r="C22">
        <f t="shared" ca="1" si="1"/>
        <v>1669.79</v>
      </c>
      <c r="D22" s="1">
        <f t="shared" ca="1" si="2"/>
        <v>21.83968402007967</v>
      </c>
      <c r="E22">
        <f t="shared" ca="1" si="3"/>
        <v>722</v>
      </c>
      <c r="F22">
        <f t="shared" ca="1" si="4"/>
        <v>1</v>
      </c>
      <c r="G22">
        <f t="shared" ca="1" si="5"/>
        <v>-11204.489824472084</v>
      </c>
      <c r="H22" cm="1">
        <f t="array" aca="1" ref="H22" ca="1">SUMPRODUCT(TRANSPOSE($B$4:$B$8),B22:F22)+$B$3+G22</f>
        <v>82448.216495126326</v>
      </c>
    </row>
    <row r="23" spans="1:8" x14ac:dyDescent="0.35">
      <c r="A23">
        <v>13</v>
      </c>
      <c r="B23">
        <f t="shared" ca="1" si="0"/>
        <v>2</v>
      </c>
      <c r="C23">
        <f t="shared" ca="1" si="1"/>
        <v>1353.77</v>
      </c>
      <c r="D23" s="1">
        <f t="shared" ca="1" si="2"/>
        <v>67.774285364986227</v>
      </c>
      <c r="E23">
        <f t="shared" ca="1" si="3"/>
        <v>790</v>
      </c>
      <c r="F23">
        <f t="shared" ca="1" si="4"/>
        <v>1</v>
      </c>
      <c r="G23">
        <f t="shared" ca="1" si="5"/>
        <v>-4865.3565560279139</v>
      </c>
      <c r="H23" cm="1">
        <f t="array" aca="1" ref="H23" ca="1">SUMPRODUCT(TRANSPOSE($B$4:$B$8),B23:F23)+$B$3+G23</f>
        <v>71767.657736672365</v>
      </c>
    </row>
    <row r="24" spans="1:8" x14ac:dyDescent="0.35">
      <c r="A24">
        <v>14</v>
      </c>
      <c r="B24">
        <f t="shared" ca="1" si="0"/>
        <v>6</v>
      </c>
      <c r="C24">
        <f t="shared" ca="1" si="1"/>
        <v>1769.75</v>
      </c>
      <c r="D24" s="1">
        <f t="shared" ca="1" si="2"/>
        <v>37.159273277457203</v>
      </c>
      <c r="E24">
        <f t="shared" ca="1" si="3"/>
        <v>809</v>
      </c>
      <c r="F24">
        <f t="shared" ca="1" si="4"/>
        <v>1</v>
      </c>
      <c r="G24">
        <f t="shared" ca="1" si="5"/>
        <v>-3883.7311907875819</v>
      </c>
      <c r="H24" cm="1">
        <f t="array" aca="1" ref="H24" ca="1">SUMPRODUCT(TRANSPOSE($B$4:$B$8),B24:F24)+$B$3+G24</f>
        <v>94560.583343663267</v>
      </c>
    </row>
    <row r="25" spans="1:8" x14ac:dyDescent="0.35">
      <c r="A25">
        <v>15</v>
      </c>
      <c r="B25">
        <f t="shared" ca="1" si="0"/>
        <v>7</v>
      </c>
      <c r="C25">
        <f t="shared" ca="1" si="1"/>
        <v>1028.5899999999999</v>
      </c>
      <c r="D25" s="1">
        <f t="shared" ca="1" si="2"/>
        <v>64.978787673913956</v>
      </c>
      <c r="E25">
        <f t="shared" ca="1" si="3"/>
        <v>809</v>
      </c>
      <c r="F25">
        <f t="shared" ca="1" si="4"/>
        <v>0</v>
      </c>
      <c r="G25">
        <f t="shared" ca="1" si="5"/>
        <v>3280.1971332469761</v>
      </c>
      <c r="H25" cm="1">
        <f t="array" aca="1" ref="H25" ca="1">SUMPRODUCT(TRANSPOSE($B$4:$B$8),B25:F25)+$B$3+G25</f>
        <v>64110.121379768687</v>
      </c>
    </row>
    <row r="26" spans="1:8" x14ac:dyDescent="0.35">
      <c r="A26">
        <v>16</v>
      </c>
      <c r="B26">
        <f t="shared" ca="1" si="0"/>
        <v>10</v>
      </c>
      <c r="C26">
        <f t="shared" ca="1" si="1"/>
        <v>1398.1</v>
      </c>
      <c r="D26" s="1">
        <f t="shared" ca="1" si="2"/>
        <v>61.964129745264046</v>
      </c>
      <c r="E26">
        <f t="shared" ca="1" si="3"/>
        <v>715</v>
      </c>
      <c r="F26">
        <f t="shared" ca="1" si="4"/>
        <v>0</v>
      </c>
      <c r="G26">
        <f t="shared" ca="1" si="5"/>
        <v>-5361.8874011950893</v>
      </c>
      <c r="H26" cm="1">
        <f t="array" aca="1" ref="H26" ca="1">SUMPRODUCT(TRANSPOSE($B$4:$B$8),B26:F26)+$B$3+G26</f>
        <v>74303.830003899639</v>
      </c>
    </row>
    <row r="27" spans="1:8" x14ac:dyDescent="0.35">
      <c r="A27">
        <v>17</v>
      </c>
      <c r="B27">
        <f t="shared" ca="1" si="0"/>
        <v>3</v>
      </c>
      <c r="C27">
        <f t="shared" ca="1" si="1"/>
        <v>1078.51</v>
      </c>
      <c r="D27" s="1">
        <f t="shared" ca="1" si="2"/>
        <v>81.915270910658222</v>
      </c>
      <c r="E27">
        <f t="shared" ca="1" si="3"/>
        <v>509</v>
      </c>
      <c r="F27">
        <f t="shared" ca="1" si="4"/>
        <v>1</v>
      </c>
      <c r="G27">
        <f t="shared" ca="1" si="5"/>
        <v>-8893.2830885456424</v>
      </c>
      <c r="H27" cm="1">
        <f t="array" aca="1" ref="H27" ca="1">SUMPRODUCT(TRANSPOSE($B$4:$B$8),B27:F27)+$B$3+G27</f>
        <v>53793.91149324119</v>
      </c>
    </row>
    <row r="28" spans="1:8" x14ac:dyDescent="0.35">
      <c r="A28">
        <v>18</v>
      </c>
      <c r="B28">
        <f t="shared" ca="1" si="0"/>
        <v>4</v>
      </c>
      <c r="C28">
        <f t="shared" ca="1" si="1"/>
        <v>1122.68</v>
      </c>
      <c r="D28" s="1">
        <f t="shared" ca="1" si="2"/>
        <v>66.424423862985165</v>
      </c>
      <c r="E28">
        <f t="shared" ca="1" si="3"/>
        <v>545</v>
      </c>
      <c r="F28">
        <f t="shared" ca="1" si="4"/>
        <v>1</v>
      </c>
      <c r="G28">
        <f t="shared" ca="1" si="5"/>
        <v>-4079.9571321159706</v>
      </c>
      <c r="H28" cm="1">
        <f t="array" aca="1" ref="H28" ca="1">SUMPRODUCT(TRANSPOSE($B$4:$B$8),B28:F28)+$B$3+G28</f>
        <v>61225.554390624333</v>
      </c>
    </row>
    <row r="29" spans="1:8" x14ac:dyDescent="0.35">
      <c r="A29">
        <v>19</v>
      </c>
      <c r="B29">
        <f t="shared" ca="1" si="0"/>
        <v>2</v>
      </c>
      <c r="C29">
        <f t="shared" ca="1" si="1"/>
        <v>1689.88</v>
      </c>
      <c r="D29" s="1">
        <f t="shared" ca="1" si="2"/>
        <v>53.299056341885731</v>
      </c>
      <c r="E29">
        <f t="shared" ca="1" si="3"/>
        <v>825</v>
      </c>
      <c r="F29">
        <f t="shared" ca="1" si="4"/>
        <v>1</v>
      </c>
      <c r="G29">
        <f t="shared" ca="1" si="5"/>
        <v>5238.6890216545416</v>
      </c>
      <c r="H29" cm="1">
        <f t="array" aca="1" ref="H29" ca="1">SUMPRODUCT(TRANSPOSE($B$4:$B$8),B29:F29)+$B$3+G29</f>
        <v>98966.707894816835</v>
      </c>
    </row>
    <row r="30" spans="1:8" x14ac:dyDescent="0.35">
      <c r="A30">
        <v>20</v>
      </c>
      <c r="B30">
        <f t="shared" ca="1" si="0"/>
        <v>6</v>
      </c>
      <c r="C30">
        <f t="shared" ca="1" si="1"/>
        <v>1153.93</v>
      </c>
      <c r="D30" s="1">
        <f t="shared" ca="1" si="2"/>
        <v>23.748736124180564</v>
      </c>
      <c r="E30">
        <f t="shared" ca="1" si="3"/>
        <v>620</v>
      </c>
      <c r="F30">
        <f t="shared" ca="1" si="4"/>
        <v>0</v>
      </c>
      <c r="G30">
        <f t="shared" ca="1" si="5"/>
        <v>7925.6992758413844</v>
      </c>
      <c r="H30" cm="1">
        <f t="array" aca="1" ref="H30" ca="1">SUMPRODUCT(TRANSPOSE($B$4:$B$8),B30:F30)+$B$3+G30</f>
        <v>75747.224553357781</v>
      </c>
    </row>
    <row r="31" spans="1:8" x14ac:dyDescent="0.35">
      <c r="A31">
        <v>21</v>
      </c>
      <c r="B31">
        <f t="shared" ca="1" si="0"/>
        <v>2</v>
      </c>
      <c r="C31">
        <f t="shared" ca="1" si="1"/>
        <v>1497.55</v>
      </c>
      <c r="D31" s="1">
        <f t="shared" ca="1" si="2"/>
        <v>52.82927635101754</v>
      </c>
      <c r="E31">
        <f t="shared" ca="1" si="3"/>
        <v>823</v>
      </c>
      <c r="F31">
        <f t="shared" ca="1" si="4"/>
        <v>1</v>
      </c>
      <c r="G31">
        <f t="shared" ca="1" si="5"/>
        <v>-12219.752151984521</v>
      </c>
      <c r="H31" cm="1">
        <f t="array" aca="1" ref="H31" ca="1">SUMPRODUCT(TRANSPOSE($B$4:$B$8),B31:F31)+$B$3+G31</f>
        <v>71901.162320995136</v>
      </c>
    </row>
    <row r="32" spans="1:8" x14ac:dyDescent="0.35">
      <c r="A32">
        <v>22</v>
      </c>
      <c r="B32">
        <f t="shared" ca="1" si="0"/>
        <v>4</v>
      </c>
      <c r="C32">
        <f t="shared" ca="1" si="1"/>
        <v>1925.76</v>
      </c>
      <c r="D32" s="1">
        <f t="shared" ca="1" si="2"/>
        <v>51.549432380582225</v>
      </c>
      <c r="E32">
        <f t="shared" ca="1" si="3"/>
        <v>649</v>
      </c>
      <c r="F32">
        <f t="shared" ca="1" si="4"/>
        <v>1</v>
      </c>
      <c r="G32">
        <f t="shared" ca="1" si="5"/>
        <v>19442.470574523537</v>
      </c>
      <c r="H32" cm="1">
        <f t="array" aca="1" ref="H32" ca="1">SUMPRODUCT(TRANSPOSE($B$4:$B$8),B32:F32)+$B$3+G32</f>
        <v>125199.4819269119</v>
      </c>
    </row>
    <row r="33" spans="1:8" x14ac:dyDescent="0.35">
      <c r="A33">
        <v>23</v>
      </c>
      <c r="B33">
        <f t="shared" ca="1" si="0"/>
        <v>3</v>
      </c>
      <c r="C33">
        <f t="shared" ca="1" si="1"/>
        <v>1317.37</v>
      </c>
      <c r="D33" s="1">
        <f t="shared" ca="1" si="2"/>
        <v>70.996268536620121</v>
      </c>
      <c r="E33">
        <f t="shared" ca="1" si="3"/>
        <v>655</v>
      </c>
      <c r="F33">
        <f t="shared" ca="1" si="4"/>
        <v>1</v>
      </c>
      <c r="G33">
        <f t="shared" ca="1" si="5"/>
        <v>3896.1034268997323</v>
      </c>
      <c r="H33" cm="1">
        <f t="array" aca="1" ref="H33" ca="1">SUMPRODUCT(TRANSPOSE($B$4:$B$8),B33:F33)+$B$3+G33</f>
        <v>78744.678056167322</v>
      </c>
    </row>
    <row r="34" spans="1:8" x14ac:dyDescent="0.35">
      <c r="A34">
        <v>24</v>
      </c>
      <c r="B34">
        <f t="shared" ca="1" si="0"/>
        <v>2</v>
      </c>
      <c r="C34">
        <f t="shared" ca="1" si="1"/>
        <v>1123.79</v>
      </c>
      <c r="D34" s="1">
        <f t="shared" ca="1" si="2"/>
        <v>55.503017383163908</v>
      </c>
      <c r="E34">
        <f t="shared" ca="1" si="3"/>
        <v>906</v>
      </c>
      <c r="F34">
        <f t="shared" ca="1" si="4"/>
        <v>0</v>
      </c>
      <c r="G34">
        <f t="shared" ca="1" si="5"/>
        <v>-1276.1462350563024</v>
      </c>
      <c r="H34" cm="1">
        <f t="array" aca="1" ref="H34" ca="1">SUMPRODUCT(TRANSPOSE($B$4:$B$8),B34:F34)+$B$3+G34</f>
        <v>64003.293417280423</v>
      </c>
    </row>
    <row r="35" spans="1:8" x14ac:dyDescent="0.35">
      <c r="A35">
        <v>25</v>
      </c>
      <c r="B35">
        <f t="shared" ca="1" si="0"/>
        <v>8</v>
      </c>
      <c r="C35">
        <f t="shared" ca="1" si="1"/>
        <v>1477.06</v>
      </c>
      <c r="D35" s="1">
        <f t="shared" ca="1" si="2"/>
        <v>5.4108477850047905</v>
      </c>
      <c r="E35">
        <f t="shared" ca="1" si="3"/>
        <v>679</v>
      </c>
      <c r="F35">
        <f t="shared" ca="1" si="4"/>
        <v>0</v>
      </c>
      <c r="G35">
        <f t="shared" ca="1" si="5"/>
        <v>-14230.387420222343</v>
      </c>
      <c r="H35" cm="1">
        <f t="array" aca="1" ref="H35" ca="1">SUMPRODUCT(TRANSPOSE($B$4:$B$8),B35:F35)+$B$3+G35</f>
        <v>70314.395624077573</v>
      </c>
    </row>
    <row r="36" spans="1:8" x14ac:dyDescent="0.35">
      <c r="A36">
        <v>26</v>
      </c>
      <c r="B36">
        <f t="shared" ca="1" si="0"/>
        <v>8</v>
      </c>
      <c r="C36">
        <f t="shared" ca="1" si="1"/>
        <v>1988.1</v>
      </c>
      <c r="D36" s="1">
        <f t="shared" ca="1" si="2"/>
        <v>66.01327740433662</v>
      </c>
      <c r="E36">
        <f t="shared" ca="1" si="3"/>
        <v>757</v>
      </c>
      <c r="F36">
        <f t="shared" ca="1" si="4"/>
        <v>1</v>
      </c>
      <c r="G36">
        <f t="shared" ca="1" si="5"/>
        <v>-9149.0768386842265</v>
      </c>
      <c r="H36" cm="1">
        <f t="array" aca="1" ref="H36" ca="1">SUMPRODUCT(TRANSPOSE($B$4:$B$8),B36:F36)+$B$3+G36</f>
        <v>99835.65761322905</v>
      </c>
    </row>
    <row r="37" spans="1:8" x14ac:dyDescent="0.35">
      <c r="A37">
        <v>27</v>
      </c>
      <c r="B37">
        <f t="shared" ca="1" si="0"/>
        <v>6</v>
      </c>
      <c r="C37">
        <f t="shared" ca="1" si="1"/>
        <v>1763.82</v>
      </c>
      <c r="D37" s="1">
        <f t="shared" ca="1" si="2"/>
        <v>46.24067941070988</v>
      </c>
      <c r="E37">
        <f t="shared" ca="1" si="3"/>
        <v>929</v>
      </c>
      <c r="F37">
        <f t="shared" ca="1" si="4"/>
        <v>0</v>
      </c>
      <c r="G37">
        <f t="shared" ca="1" si="5"/>
        <v>-3653.6114768383327</v>
      </c>
      <c r="H37" cm="1">
        <f t="array" aca="1" ref="H37" ca="1">SUMPRODUCT(TRANSPOSE($B$4:$B$8),B37:F37)+$B$3+G37</f>
        <v>94212.574934947479</v>
      </c>
    </row>
    <row r="38" spans="1:8" x14ac:dyDescent="0.35">
      <c r="A38">
        <v>28</v>
      </c>
      <c r="B38">
        <f t="shared" ca="1" si="0"/>
        <v>5</v>
      </c>
      <c r="C38">
        <f t="shared" ca="1" si="1"/>
        <v>1715.81</v>
      </c>
      <c r="D38" s="1">
        <f t="shared" ca="1" si="2"/>
        <v>19.272964528075466</v>
      </c>
      <c r="E38">
        <f t="shared" ca="1" si="3"/>
        <v>1038</v>
      </c>
      <c r="F38">
        <f t="shared" ca="1" si="4"/>
        <v>1</v>
      </c>
      <c r="G38">
        <f t="shared" ca="1" si="5"/>
        <v>4940.3702413833635</v>
      </c>
      <c r="H38" cm="1">
        <f t="array" aca="1" ref="H38" ca="1">SUMPRODUCT(TRANSPOSE($B$4:$B$8),B38:F38)+$B$3+G38</f>
        <v>100945.41095082185</v>
      </c>
    </row>
    <row r="39" spans="1:8" x14ac:dyDescent="0.35">
      <c r="A39">
        <v>29</v>
      </c>
      <c r="B39">
        <f t="shared" ca="1" si="0"/>
        <v>9</v>
      </c>
      <c r="C39">
        <f t="shared" ca="1" si="1"/>
        <v>1843.71</v>
      </c>
      <c r="D39" s="1">
        <f t="shared" ca="1" si="2"/>
        <v>58.178946438689707</v>
      </c>
      <c r="E39">
        <f t="shared" ca="1" si="3"/>
        <v>800</v>
      </c>
      <c r="F39">
        <f t="shared" ca="1" si="4"/>
        <v>0</v>
      </c>
      <c r="G39">
        <f t="shared" ca="1" si="5"/>
        <v>-3623.2010107258288</v>
      </c>
      <c r="H39" cm="1">
        <f t="array" aca="1" ref="H39" ca="1">SUMPRODUCT(TRANSPOSE($B$4:$B$8),B39:F39)+$B$3+G39</f>
        <v>98298.720060500375</v>
      </c>
    </row>
    <row r="40" spans="1:8" x14ac:dyDescent="0.35">
      <c r="A40">
        <v>30</v>
      </c>
      <c r="B40">
        <f t="shared" ca="1" si="0"/>
        <v>9</v>
      </c>
      <c r="C40">
        <f t="shared" ca="1" si="1"/>
        <v>1768.84</v>
      </c>
      <c r="D40" s="1">
        <f t="shared" ca="1" si="2"/>
        <v>32.383815833000099</v>
      </c>
      <c r="E40">
        <f t="shared" ca="1" si="3"/>
        <v>961</v>
      </c>
      <c r="F40">
        <f t="shared" ca="1" si="4"/>
        <v>1</v>
      </c>
      <c r="G40">
        <f t="shared" ca="1" si="5"/>
        <v>173.56189769082545</v>
      </c>
      <c r="H40" cm="1">
        <f t="array" aca="1" ref="H40" ca="1">SUMPRODUCT(TRANSPOSE($B$4:$B$8),B40:F40)+$B$3+G40</f>
        <v>98967.885581030831</v>
      </c>
    </row>
    <row r="41" spans="1:8" x14ac:dyDescent="0.35">
      <c r="A41">
        <v>31</v>
      </c>
      <c r="B41">
        <f t="shared" ca="1" si="0"/>
        <v>7</v>
      </c>
      <c r="C41">
        <f t="shared" ca="1" si="1"/>
        <v>1648.47</v>
      </c>
      <c r="D41" s="1">
        <f t="shared" ca="1" si="2"/>
        <v>42.218724645089573</v>
      </c>
      <c r="E41">
        <f t="shared" ca="1" si="3"/>
        <v>655</v>
      </c>
      <c r="F41">
        <f t="shared" ca="1" si="4"/>
        <v>0</v>
      </c>
      <c r="G41">
        <f t="shared" ca="1" si="5"/>
        <v>419.06954366465754</v>
      </c>
      <c r="H41" cm="1">
        <f t="array" aca="1" ref="H41" ca="1">SUMPRODUCT(TRANSPOSE($B$4:$B$8),B41:F41)+$B$3+G41</f>
        <v>92698.195050762879</v>
      </c>
    </row>
    <row r="42" spans="1:8" x14ac:dyDescent="0.35">
      <c r="A42">
        <v>32</v>
      </c>
      <c r="B42">
        <f t="shared" ca="1" si="0"/>
        <v>6</v>
      </c>
      <c r="C42">
        <f t="shared" ca="1" si="1"/>
        <v>1927.32</v>
      </c>
      <c r="D42" s="1">
        <f t="shared" ca="1" si="2"/>
        <v>12.42084926303783</v>
      </c>
      <c r="E42">
        <f t="shared" ca="1" si="3"/>
        <v>545</v>
      </c>
      <c r="F42">
        <f t="shared" ca="1" si="4"/>
        <v>0</v>
      </c>
      <c r="G42">
        <f t="shared" ca="1" si="5"/>
        <v>7438.6603182810504</v>
      </c>
      <c r="H42" cm="1">
        <f t="array" aca="1" ref="H42" ca="1">SUMPRODUCT(TRANSPOSE($B$4:$B$8),B42:F42)+$B$3+G42</f>
        <v>114156.24333302029</v>
      </c>
    </row>
    <row r="43" spans="1:8" x14ac:dyDescent="0.35">
      <c r="A43">
        <v>33</v>
      </c>
      <c r="B43">
        <f t="shared" ca="1" si="0"/>
        <v>4</v>
      </c>
      <c r="C43">
        <f t="shared" ca="1" si="1"/>
        <v>1073.07</v>
      </c>
      <c r="D43" s="1">
        <f t="shared" ca="1" si="2"/>
        <v>46.129689198185567</v>
      </c>
      <c r="E43">
        <f t="shared" ca="1" si="3"/>
        <v>853</v>
      </c>
      <c r="F43">
        <f t="shared" ca="1" si="4"/>
        <v>1</v>
      </c>
      <c r="G43">
        <f t="shared" ca="1" si="5"/>
        <v>-19301.415350652493</v>
      </c>
      <c r="H43" cm="1">
        <f t="array" aca="1" ref="H43" ca="1">SUMPRODUCT(TRANSPOSE($B$4:$B$8),B43:F43)+$B$3+G43</f>
        <v>43929.490865383792</v>
      </c>
    </row>
    <row r="44" spans="1:8" x14ac:dyDescent="0.35">
      <c r="A44">
        <v>34</v>
      </c>
      <c r="B44">
        <f t="shared" ca="1" si="0"/>
        <v>2</v>
      </c>
      <c r="C44">
        <f t="shared" ca="1" si="1"/>
        <v>1344.11</v>
      </c>
      <c r="D44" s="1">
        <f t="shared" ca="1" si="2"/>
        <v>38.095704855712896</v>
      </c>
      <c r="E44">
        <f t="shared" ca="1" si="3"/>
        <v>952</v>
      </c>
      <c r="F44">
        <f t="shared" ca="1" si="4"/>
        <v>0</v>
      </c>
      <c r="G44">
        <f t="shared" ca="1" si="5"/>
        <v>13553.207474693201</v>
      </c>
      <c r="H44" cm="1">
        <f t="array" aca="1" ref="H44" ca="1">SUMPRODUCT(TRANSPOSE($B$4:$B$8),B44:F44)+$B$3+G44</f>
        <v>90196.793377578942</v>
      </c>
    </row>
    <row r="45" spans="1:8" x14ac:dyDescent="0.35">
      <c r="A45">
        <v>35</v>
      </c>
      <c r="B45">
        <f t="shared" ca="1" si="0"/>
        <v>6</v>
      </c>
      <c r="C45">
        <f t="shared" ca="1" si="1"/>
        <v>1090.19</v>
      </c>
      <c r="D45" s="1">
        <f t="shared" ca="1" si="2"/>
        <v>26.707633620175582</v>
      </c>
      <c r="E45">
        <f t="shared" ca="1" si="3"/>
        <v>1070</v>
      </c>
      <c r="F45">
        <f t="shared" ca="1" si="4"/>
        <v>0</v>
      </c>
      <c r="G45">
        <f t="shared" ca="1" si="5"/>
        <v>2865.0811965679691</v>
      </c>
      <c r="H45" cm="1">
        <f t="array" aca="1" ref="H45" ca="1">SUMPRODUCT(TRANSPOSE($B$4:$B$8),B45:F45)+$B$3+G45</f>
        <v>67440.428524164454</v>
      </c>
    </row>
    <row r="46" spans="1:8" x14ac:dyDescent="0.35">
      <c r="A46">
        <v>36</v>
      </c>
      <c r="B46">
        <f t="shared" ca="1" si="0"/>
        <v>5</v>
      </c>
      <c r="C46">
        <f t="shared" ca="1" si="1"/>
        <v>1756.12</v>
      </c>
      <c r="D46" s="1">
        <f t="shared" ca="1" si="2"/>
        <v>12.808906874874687</v>
      </c>
      <c r="E46">
        <f t="shared" ca="1" si="3"/>
        <v>799</v>
      </c>
      <c r="F46">
        <f t="shared" ca="1" si="4"/>
        <v>1</v>
      </c>
      <c r="G46">
        <f t="shared" ca="1" si="5"/>
        <v>9131.0723317736156</v>
      </c>
      <c r="H46" cm="1">
        <f t="array" aca="1" ref="H46" ca="1">SUMPRODUCT(TRANSPOSE($B$4:$B$8),B46:F46)+$B$3+G46</f>
        <v>107280.89419427612</v>
      </c>
    </row>
    <row r="47" spans="1:8" x14ac:dyDescent="0.35">
      <c r="A47">
        <v>37</v>
      </c>
      <c r="B47">
        <f t="shared" ca="1" si="0"/>
        <v>4</v>
      </c>
      <c r="C47">
        <f t="shared" ca="1" si="1"/>
        <v>1627.72</v>
      </c>
      <c r="D47" s="1">
        <f t="shared" ca="1" si="2"/>
        <v>37.581982175935593</v>
      </c>
      <c r="E47">
        <f t="shared" ca="1" si="3"/>
        <v>784</v>
      </c>
      <c r="F47">
        <f t="shared" ca="1" si="4"/>
        <v>1</v>
      </c>
      <c r="G47">
        <f t="shared" ca="1" si="5"/>
        <v>-949.63329741534676</v>
      </c>
      <c r="H47" cm="1">
        <f t="array" aca="1" ref="H47" ca="1">SUMPRODUCT(TRANSPOSE($B$4:$B$8),B47:F47)+$B$3+G47</f>
        <v>90184.727059065946</v>
      </c>
    </row>
    <row r="48" spans="1:8" x14ac:dyDescent="0.35">
      <c r="A48">
        <v>38</v>
      </c>
      <c r="B48">
        <f t="shared" ca="1" si="0"/>
        <v>7</v>
      </c>
      <c r="C48">
        <f t="shared" ca="1" si="1"/>
        <v>1904.83</v>
      </c>
      <c r="D48" s="1">
        <f t="shared" ca="1" si="2"/>
        <v>34.579613455554899</v>
      </c>
      <c r="E48">
        <f t="shared" ca="1" si="3"/>
        <v>1056</v>
      </c>
      <c r="F48">
        <f t="shared" ca="1" si="4"/>
        <v>1</v>
      </c>
      <c r="G48">
        <f t="shared" ca="1" si="5"/>
        <v>-4909.3739613590642</v>
      </c>
      <c r="H48" cm="1">
        <f t="array" aca="1" ref="H48" ca="1">SUMPRODUCT(TRANSPOSE($B$4:$B$8),B48:F48)+$B$3+G48</f>
        <v>100440.53376952984</v>
      </c>
    </row>
    <row r="49" spans="1:8" x14ac:dyDescent="0.35">
      <c r="A49">
        <v>39</v>
      </c>
      <c r="B49">
        <f t="shared" ca="1" si="0"/>
        <v>4</v>
      </c>
      <c r="C49">
        <f t="shared" ca="1" si="1"/>
        <v>1282.08</v>
      </c>
      <c r="D49" s="1">
        <f t="shared" ca="1" si="2"/>
        <v>62.645358615704872</v>
      </c>
      <c r="E49">
        <f t="shared" ca="1" si="3"/>
        <v>704</v>
      </c>
      <c r="F49">
        <f t="shared" ca="1" si="4"/>
        <v>1</v>
      </c>
      <c r="G49">
        <f t="shared" ca="1" si="5"/>
        <v>-6294.4500949474468</v>
      </c>
      <c r="H49" cm="1">
        <f t="array" aca="1" ref="H49" ca="1">SUMPRODUCT(TRANSPOSE($B$4:$B$8),B49:F49)+$B$3+G49</f>
        <v>67056.642732738459</v>
      </c>
    </row>
    <row r="50" spans="1:8" x14ac:dyDescent="0.35">
      <c r="A50">
        <v>40</v>
      </c>
      <c r="B50">
        <f t="shared" ca="1" si="0"/>
        <v>4</v>
      </c>
      <c r="C50">
        <f t="shared" ca="1" si="1"/>
        <v>1514.91</v>
      </c>
      <c r="D50" s="1">
        <f t="shared" ca="1" si="2"/>
        <v>34.032334683534415</v>
      </c>
      <c r="E50">
        <f t="shared" ca="1" si="3"/>
        <v>720</v>
      </c>
      <c r="F50">
        <f t="shared" ca="1" si="4"/>
        <v>0</v>
      </c>
      <c r="G50">
        <f t="shared" ca="1" si="5"/>
        <v>6444.0088546020916</v>
      </c>
      <c r="H50" cm="1">
        <f t="array" aca="1" ref="H50" ca="1">SUMPRODUCT(TRANSPOSE($B$4:$B$8),B50:F50)+$B$3+G50</f>
        <v>91908.8621609314</v>
      </c>
    </row>
    <row r="51" spans="1:8" x14ac:dyDescent="0.35">
      <c r="A51">
        <v>41</v>
      </c>
      <c r="B51">
        <f t="shared" ca="1" si="0"/>
        <v>4</v>
      </c>
      <c r="C51">
        <f t="shared" ca="1" si="1"/>
        <v>1853.7</v>
      </c>
      <c r="D51" s="1">
        <f t="shared" ca="1" si="2"/>
        <v>17.667967496495756</v>
      </c>
      <c r="E51">
        <f t="shared" ca="1" si="3"/>
        <v>811</v>
      </c>
      <c r="F51">
        <f t="shared" ca="1" si="4"/>
        <v>0</v>
      </c>
      <c r="G51">
        <f t="shared" ca="1" si="5"/>
        <v>4431.5848622403946</v>
      </c>
      <c r="H51" cm="1">
        <f t="array" aca="1" ref="H51" ca="1">SUMPRODUCT(TRANSPOSE($B$4:$B$8),B51:F51)+$B$3+G51</f>
        <v>107163.22551231048</v>
      </c>
    </row>
    <row r="52" spans="1:8" x14ac:dyDescent="0.35">
      <c r="A52">
        <v>42</v>
      </c>
      <c r="B52">
        <f t="shared" ca="1" si="0"/>
        <v>2</v>
      </c>
      <c r="C52">
        <f t="shared" ca="1" si="1"/>
        <v>1729.51</v>
      </c>
      <c r="D52" s="1">
        <f t="shared" ca="1" si="2"/>
        <v>58.750829772900772</v>
      </c>
      <c r="E52">
        <f t="shared" ca="1" si="3"/>
        <v>530</v>
      </c>
      <c r="F52">
        <f t="shared" ca="1" si="4"/>
        <v>0</v>
      </c>
      <c r="G52">
        <f t="shared" ca="1" si="5"/>
        <v>8106.8124013559072</v>
      </c>
      <c r="H52" cm="1">
        <f t="array" aca="1" ref="H52" ca="1">SUMPRODUCT(TRANSPOSE($B$4:$B$8),B52:F52)+$B$3+G52</f>
        <v>103607.2958058979</v>
      </c>
    </row>
    <row r="53" spans="1:8" x14ac:dyDescent="0.35">
      <c r="A53">
        <v>43</v>
      </c>
      <c r="B53">
        <f t="shared" ca="1" si="0"/>
        <v>4</v>
      </c>
      <c r="C53">
        <f t="shared" ca="1" si="1"/>
        <v>1575.11</v>
      </c>
      <c r="D53" s="1">
        <f t="shared" ca="1" si="2"/>
        <v>82.310582288492327</v>
      </c>
      <c r="E53">
        <f t="shared" ca="1" si="3"/>
        <v>769</v>
      </c>
      <c r="F53">
        <f t="shared" ca="1" si="4"/>
        <v>0</v>
      </c>
      <c r="G53">
        <f t="shared" ca="1" si="5"/>
        <v>-17145.132397355526</v>
      </c>
      <c r="H53" cm="1">
        <f t="array" aca="1" ref="H53" ca="1">SUMPRODUCT(TRANSPOSE($B$4:$B$8),B53:F53)+$B$3+G53</f>
        <v>70364.155956874631</v>
      </c>
    </row>
    <row r="54" spans="1:8" x14ac:dyDescent="0.35">
      <c r="A54">
        <v>44</v>
      </c>
      <c r="B54">
        <f t="shared" ca="1" si="0"/>
        <v>7</v>
      </c>
      <c r="C54">
        <f t="shared" ca="1" si="1"/>
        <v>1361.06</v>
      </c>
      <c r="D54" s="1">
        <f t="shared" ca="1" si="2"/>
        <v>71.021029051682163</v>
      </c>
      <c r="E54">
        <f t="shared" ca="1" si="3"/>
        <v>849</v>
      </c>
      <c r="F54">
        <f t="shared" ca="1" si="4"/>
        <v>1</v>
      </c>
      <c r="G54">
        <f t="shared" ca="1" si="5"/>
        <v>650.46137133284378</v>
      </c>
      <c r="H54" cm="1">
        <f t="array" aca="1" ref="H54" ca="1">SUMPRODUCT(TRANSPOSE($B$4:$B$8),B54:F54)+$B$3+G54</f>
        <v>78083.040790299201</v>
      </c>
    </row>
    <row r="55" spans="1:8" x14ac:dyDescent="0.35">
      <c r="A55">
        <v>45</v>
      </c>
      <c r="B55">
        <f t="shared" ca="1" si="0"/>
        <v>7</v>
      </c>
      <c r="C55">
        <f t="shared" ca="1" si="1"/>
        <v>1007.79</v>
      </c>
      <c r="D55" s="1">
        <f t="shared" ca="1" si="2"/>
        <v>67.200238218853599</v>
      </c>
      <c r="E55">
        <f t="shared" ca="1" si="3"/>
        <v>846</v>
      </c>
      <c r="F55">
        <f t="shared" ca="1" si="4"/>
        <v>0</v>
      </c>
      <c r="G55">
        <f t="shared" ca="1" si="5"/>
        <v>15690.907614992231</v>
      </c>
      <c r="H55" cm="1">
        <f t="array" aca="1" ref="H55" ca="1">SUMPRODUCT(TRANSPOSE($B$4:$B$8),B55:F55)+$B$3+G55</f>
        <v>75436.402850615152</v>
      </c>
    </row>
    <row r="56" spans="1:8" x14ac:dyDescent="0.35">
      <c r="A56">
        <v>46</v>
      </c>
      <c r="B56">
        <f t="shared" ca="1" si="0"/>
        <v>5</v>
      </c>
      <c r="C56">
        <f t="shared" ca="1" si="1"/>
        <v>1103.82</v>
      </c>
      <c r="D56" s="1">
        <f t="shared" ca="1" si="2"/>
        <v>25.559144452113447</v>
      </c>
      <c r="E56">
        <f t="shared" ca="1" si="3"/>
        <v>854</v>
      </c>
      <c r="F56">
        <f t="shared" ca="1" si="4"/>
        <v>1</v>
      </c>
      <c r="G56">
        <f t="shared" ca="1" si="5"/>
        <v>84.143673597442771</v>
      </c>
      <c r="H56" cm="1">
        <f t="array" aca="1" ref="H56" ca="1">SUMPRODUCT(TRANSPOSE($B$4:$B$8),B56:F56)+$B$3+G56</f>
        <v>65363.960784555173</v>
      </c>
    </row>
    <row r="57" spans="1:8" x14ac:dyDescent="0.35">
      <c r="A57">
        <v>47</v>
      </c>
      <c r="B57">
        <f t="shared" ca="1" si="0"/>
        <v>3</v>
      </c>
      <c r="C57">
        <f t="shared" ca="1" si="1"/>
        <v>1773.38</v>
      </c>
      <c r="D57" s="1">
        <f t="shared" ca="1" si="2"/>
        <v>58.267599677307047</v>
      </c>
      <c r="E57">
        <f t="shared" ca="1" si="3"/>
        <v>906</v>
      </c>
      <c r="F57">
        <f t="shared" ca="1" si="4"/>
        <v>1</v>
      </c>
      <c r="G57">
        <f t="shared" ca="1" si="5"/>
        <v>8208.347218287101</v>
      </c>
      <c r="H57" cm="1">
        <f t="array" aca="1" ref="H57" ca="1">SUMPRODUCT(TRANSPOSE($B$4:$B$8),B57:F57)+$B$3+G57</f>
        <v>106111.99522474097</v>
      </c>
    </row>
    <row r="58" spans="1:8" x14ac:dyDescent="0.35">
      <c r="A58">
        <v>48</v>
      </c>
      <c r="B58">
        <f t="shared" ca="1" si="0"/>
        <v>7</v>
      </c>
      <c r="C58">
        <f t="shared" ca="1" si="1"/>
        <v>1549.35</v>
      </c>
      <c r="D58" s="1">
        <f t="shared" ca="1" si="2"/>
        <v>50.930429890833729</v>
      </c>
      <c r="E58">
        <f t="shared" ca="1" si="3"/>
        <v>1031</v>
      </c>
      <c r="F58">
        <f t="shared" ca="1" si="4"/>
        <v>0</v>
      </c>
      <c r="G58">
        <f t="shared" ca="1" si="5"/>
        <v>12364.498843062978</v>
      </c>
      <c r="H58" cm="1">
        <f t="array" aca="1" ref="H58" ca="1">SUMPRODUCT(TRANSPOSE($B$4:$B$8),B58:F58)+$B$3+G58</f>
        <v>99513.390245246293</v>
      </c>
    </row>
    <row r="59" spans="1:8" x14ac:dyDescent="0.35">
      <c r="A59">
        <v>49</v>
      </c>
      <c r="B59">
        <f t="shared" ca="1" si="0"/>
        <v>2</v>
      </c>
      <c r="C59">
        <f t="shared" ca="1" si="1"/>
        <v>1876.07</v>
      </c>
      <c r="D59" s="1">
        <f t="shared" ca="1" si="2"/>
        <v>65.82544525785319</v>
      </c>
      <c r="E59">
        <f t="shared" ca="1" si="3"/>
        <v>831</v>
      </c>
      <c r="F59">
        <f t="shared" ca="1" si="4"/>
        <v>0</v>
      </c>
      <c r="G59">
        <f t="shared" ca="1" si="5"/>
        <v>3641.2911638254204</v>
      </c>
      <c r="H59" cm="1">
        <f t="array" aca="1" ref="H59" ca="1">SUMPRODUCT(TRANSPOSE($B$4:$B$8),B59:F59)+$B$3+G59</f>
        <v>106328.28225866835</v>
      </c>
    </row>
    <row r="60" spans="1:8" x14ac:dyDescent="0.35">
      <c r="A60">
        <v>50</v>
      </c>
      <c r="B60">
        <f t="shared" ca="1" si="0"/>
        <v>3</v>
      </c>
      <c r="C60">
        <f t="shared" ca="1" si="1"/>
        <v>1309.8399999999999</v>
      </c>
      <c r="D60" s="1">
        <f t="shared" ca="1" si="2"/>
        <v>53.699073818751053</v>
      </c>
      <c r="E60">
        <f t="shared" ca="1" si="3"/>
        <v>519</v>
      </c>
      <c r="F60">
        <f t="shared" ca="1" si="4"/>
        <v>0</v>
      </c>
      <c r="G60">
        <f t="shared" ca="1" si="5"/>
        <v>11212.709336734672</v>
      </c>
      <c r="H60" cm="1">
        <f t="array" aca="1" ref="H60" ca="1">SUMPRODUCT(TRANSPOSE($B$4:$B$8),B60:F60)+$B$3+G60</f>
        <v>85930.72786035965</v>
      </c>
    </row>
    <row r="61" spans="1:8" x14ac:dyDescent="0.35">
      <c r="A61">
        <v>51</v>
      </c>
      <c r="B61">
        <f t="shared" ca="1" si="0"/>
        <v>6</v>
      </c>
      <c r="C61">
        <f t="shared" ca="1" si="1"/>
        <v>1713.09</v>
      </c>
      <c r="D61" s="1">
        <f t="shared" ca="1" si="2"/>
        <v>37.395391382883318</v>
      </c>
      <c r="E61">
        <f t="shared" ca="1" si="3"/>
        <v>1016</v>
      </c>
      <c r="F61">
        <f t="shared" ca="1" si="4"/>
        <v>0</v>
      </c>
      <c r="G61">
        <f t="shared" ca="1" si="5"/>
        <v>-5107.1772904773061</v>
      </c>
      <c r="H61" cm="1">
        <f t="array" aca="1" ref="H61" ca="1">SUMPRODUCT(TRANSPOSE($B$4:$B$8),B61:F61)+$B$3+G61</f>
        <v>90399.414881865028</v>
      </c>
    </row>
    <row r="62" spans="1:8" x14ac:dyDescent="0.35">
      <c r="A62">
        <v>52</v>
      </c>
      <c r="B62">
        <f t="shared" ca="1" si="0"/>
        <v>8</v>
      </c>
      <c r="C62">
        <f t="shared" ca="1" si="1"/>
        <v>1894.2</v>
      </c>
      <c r="D62" s="1">
        <f t="shared" ca="1" si="2"/>
        <v>67.51236357374205</v>
      </c>
      <c r="E62">
        <f t="shared" ca="1" si="3"/>
        <v>753</v>
      </c>
      <c r="F62">
        <f t="shared" ca="1" si="4"/>
        <v>0</v>
      </c>
      <c r="G62">
        <f t="shared" ca="1" si="5"/>
        <v>-1925.251181212157</v>
      </c>
      <c r="H62" cm="1">
        <f t="array" aca="1" ref="H62" ca="1">SUMPRODUCT(TRANSPOSE($B$4:$B$8),B62:F62)+$B$3+G62</f>
        <v>102234.501547313</v>
      </c>
    </row>
    <row r="63" spans="1:8" x14ac:dyDescent="0.35">
      <c r="A63">
        <v>53</v>
      </c>
      <c r="B63">
        <f t="shared" ca="1" si="0"/>
        <v>8</v>
      </c>
      <c r="C63">
        <f t="shared" ca="1" si="1"/>
        <v>1480.06</v>
      </c>
      <c r="D63" s="1">
        <f t="shared" ca="1" si="2"/>
        <v>39.398669688658543</v>
      </c>
      <c r="E63">
        <f t="shared" ca="1" si="3"/>
        <v>755</v>
      </c>
      <c r="F63">
        <f t="shared" ca="1" si="4"/>
        <v>0</v>
      </c>
      <c r="G63">
        <f t="shared" ca="1" si="5"/>
        <v>14788.873193498166</v>
      </c>
      <c r="H63" cm="1">
        <f t="array" aca="1" ref="H63" ca="1">SUMPRODUCT(TRANSPOSE($B$4:$B$8),B63:F63)+$B$3+G63</f>
        <v>98803.899799724997</v>
      </c>
    </row>
    <row r="64" spans="1:8" x14ac:dyDescent="0.35">
      <c r="A64">
        <v>54</v>
      </c>
      <c r="B64">
        <f t="shared" ca="1" si="0"/>
        <v>8</v>
      </c>
      <c r="C64">
        <f t="shared" ca="1" si="1"/>
        <v>1729.18</v>
      </c>
      <c r="D64" s="1">
        <f t="shared" ca="1" si="2"/>
        <v>66.763617493238002</v>
      </c>
      <c r="E64">
        <f t="shared" ca="1" si="3"/>
        <v>901</v>
      </c>
      <c r="F64">
        <f t="shared" ca="1" si="4"/>
        <v>0</v>
      </c>
      <c r="G64">
        <f t="shared" ca="1" si="5"/>
        <v>2231.7934388879175</v>
      </c>
      <c r="H64" cm="1">
        <f t="array" aca="1" ref="H64" ca="1">SUMPRODUCT(TRANSPOSE($B$4:$B$8),B64:F64)+$B$3+G64</f>
        <v>98155.521089023168</v>
      </c>
    </row>
    <row r="65" spans="1:8" x14ac:dyDescent="0.35">
      <c r="A65">
        <v>55</v>
      </c>
      <c r="B65">
        <f t="shared" ca="1" si="0"/>
        <v>10</v>
      </c>
      <c r="C65">
        <f t="shared" ca="1" si="1"/>
        <v>1685.94</v>
      </c>
      <c r="D65" s="1">
        <f t="shared" ca="1" si="2"/>
        <v>69.736311381025359</v>
      </c>
      <c r="E65">
        <f t="shared" ca="1" si="3"/>
        <v>651</v>
      </c>
      <c r="F65">
        <f t="shared" ca="1" si="4"/>
        <v>0</v>
      </c>
      <c r="G65">
        <f t="shared" ca="1" si="5"/>
        <v>7668.3520891903263</v>
      </c>
      <c r="H65" cm="1">
        <f t="array" aca="1" ref="H65" ca="1">SUMPRODUCT(TRANSPOSE($B$4:$B$8),B65:F65)+$B$3+G65</f>
        <v>101570.62586156983</v>
      </c>
    </row>
    <row r="66" spans="1:8" x14ac:dyDescent="0.35">
      <c r="A66">
        <v>56</v>
      </c>
      <c r="B66">
        <f t="shared" ca="1" si="0"/>
        <v>2</v>
      </c>
      <c r="C66">
        <f t="shared" ca="1" si="1"/>
        <v>1432.94</v>
      </c>
      <c r="D66" s="1">
        <f t="shared" ca="1" si="2"/>
        <v>53.358575192845528</v>
      </c>
      <c r="E66">
        <f t="shared" ca="1" si="3"/>
        <v>528</v>
      </c>
      <c r="F66">
        <f t="shared" ca="1" si="4"/>
        <v>1</v>
      </c>
      <c r="G66">
        <f t="shared" ca="1" si="5"/>
        <v>9254.7158573432989</v>
      </c>
      <c r="H66" cm="1">
        <f t="array" aca="1" ref="H66" ca="1">SUMPRODUCT(TRANSPOSE($B$4:$B$8),B66:F66)+$B$3+G66</f>
        <v>90134.544353486388</v>
      </c>
    </row>
    <row r="67" spans="1:8" x14ac:dyDescent="0.35">
      <c r="A67">
        <v>57</v>
      </c>
      <c r="B67">
        <f t="shared" ca="1" si="0"/>
        <v>3</v>
      </c>
      <c r="C67">
        <f t="shared" ca="1" si="1"/>
        <v>1204.96</v>
      </c>
      <c r="D67" s="1">
        <f t="shared" ca="1" si="2"/>
        <v>59.558737256113005</v>
      </c>
      <c r="E67">
        <f t="shared" ca="1" si="3"/>
        <v>630</v>
      </c>
      <c r="F67">
        <f t="shared" ca="1" si="4"/>
        <v>1</v>
      </c>
      <c r="G67">
        <f t="shared" ca="1" si="5"/>
        <v>7251.5794084444287</v>
      </c>
      <c r="H67" cm="1">
        <f t="array" aca="1" ref="H67" ca="1">SUMPRODUCT(TRANSPOSE($B$4:$B$8),B67:F67)+$B$3+G67</f>
        <v>76708.404663322173</v>
      </c>
    </row>
    <row r="68" spans="1:8" x14ac:dyDescent="0.35">
      <c r="A68">
        <v>58</v>
      </c>
      <c r="B68">
        <f t="shared" ca="1" si="0"/>
        <v>9</v>
      </c>
      <c r="C68">
        <f t="shared" ca="1" si="1"/>
        <v>1246.25</v>
      </c>
      <c r="D68" s="1">
        <f t="shared" ca="1" si="2"/>
        <v>24.882185010345172</v>
      </c>
      <c r="E68">
        <f t="shared" ca="1" si="3"/>
        <v>541</v>
      </c>
      <c r="F68">
        <f t="shared" ca="1" si="4"/>
        <v>0</v>
      </c>
      <c r="G68">
        <f t="shared" ca="1" si="5"/>
        <v>5761.6310699253954</v>
      </c>
      <c r="H68" cm="1">
        <f t="array" aca="1" ref="H68" ca="1">SUMPRODUCT(TRANSPOSE($B$4:$B$8),B68:F68)+$B$3+G68</f>
        <v>78476.487369718481</v>
      </c>
    </row>
    <row r="69" spans="1:8" x14ac:dyDescent="0.35">
      <c r="A69">
        <v>59</v>
      </c>
      <c r="B69">
        <f t="shared" ca="1" si="0"/>
        <v>6</v>
      </c>
      <c r="C69">
        <f t="shared" ca="1" si="1"/>
        <v>1688.76</v>
      </c>
      <c r="D69" s="1">
        <f t="shared" ca="1" si="2"/>
        <v>75.952974541554397</v>
      </c>
      <c r="E69">
        <f t="shared" ca="1" si="3"/>
        <v>991</v>
      </c>
      <c r="F69">
        <f t="shared" ca="1" si="4"/>
        <v>0</v>
      </c>
      <c r="G69">
        <f t="shared" ca="1" si="5"/>
        <v>3543.5486590187729</v>
      </c>
      <c r="H69" cm="1">
        <f t="array" aca="1" ref="H69" ca="1">SUMPRODUCT(TRANSPOSE($B$4:$B$8),B69:F69)+$B$3+G69</f>
        <v>97062.489168187691</v>
      </c>
    </row>
    <row r="70" spans="1:8" x14ac:dyDescent="0.35">
      <c r="A70">
        <v>60</v>
      </c>
      <c r="B70">
        <f t="shared" ca="1" si="0"/>
        <v>5</v>
      </c>
      <c r="C70">
        <f t="shared" ca="1" si="1"/>
        <v>1219.8900000000001</v>
      </c>
      <c r="D70" s="1">
        <f t="shared" ca="1" si="2"/>
        <v>51.258417800151506</v>
      </c>
      <c r="E70">
        <f t="shared" ca="1" si="3"/>
        <v>961</v>
      </c>
      <c r="F70">
        <f t="shared" ca="1" si="4"/>
        <v>1</v>
      </c>
      <c r="G70">
        <f t="shared" ca="1" si="5"/>
        <v>-19671.556510850623</v>
      </c>
      <c r="H70" cm="1">
        <f t="array" aca="1" ref="H70" ca="1">SUMPRODUCT(TRANSPOSE($B$4:$B$8),B70:F70)+$B$3+G70</f>
        <v>50897.775133146351</v>
      </c>
    </row>
    <row r="71" spans="1:8" x14ac:dyDescent="0.35">
      <c r="A71">
        <v>61</v>
      </c>
      <c r="B71">
        <f t="shared" ca="1" si="0"/>
        <v>7</v>
      </c>
      <c r="C71">
        <f t="shared" ca="1" si="1"/>
        <v>1195.1199999999999</v>
      </c>
      <c r="D71" s="1">
        <f t="shared" ca="1" si="2"/>
        <v>57.784499084187175</v>
      </c>
      <c r="E71">
        <f t="shared" ca="1" si="3"/>
        <v>1052</v>
      </c>
      <c r="F71">
        <f t="shared" ca="1" si="4"/>
        <v>1</v>
      </c>
      <c r="G71">
        <f t="shared" ca="1" si="5"/>
        <v>-12542.75897249138</v>
      </c>
      <c r="H71" cm="1">
        <f t="array" aca="1" ref="H71" ca="1">SUMPRODUCT(TRANSPOSE($B$4:$B$8),B71:F71)+$B$3+G71</f>
        <v>56857.551045824868</v>
      </c>
    </row>
    <row r="72" spans="1:8" x14ac:dyDescent="0.35">
      <c r="A72">
        <v>62</v>
      </c>
      <c r="B72">
        <f t="shared" ca="1" si="0"/>
        <v>6</v>
      </c>
      <c r="C72">
        <f t="shared" ca="1" si="1"/>
        <v>1362.83</v>
      </c>
      <c r="D72" s="1">
        <f t="shared" ca="1" si="2"/>
        <v>54.43555543595599</v>
      </c>
      <c r="E72">
        <f t="shared" ca="1" si="3"/>
        <v>543</v>
      </c>
      <c r="F72">
        <f t="shared" ca="1" si="4"/>
        <v>1</v>
      </c>
      <c r="G72">
        <f t="shared" ca="1" si="5"/>
        <v>-6283.6527383243265</v>
      </c>
      <c r="H72" cm="1">
        <f t="array" aca="1" ref="H72" ca="1">SUMPRODUCT(TRANSPOSE($B$4:$B$8),B72:F72)+$B$3+G72</f>
        <v>71469.136152956562</v>
      </c>
    </row>
    <row r="73" spans="1:8" x14ac:dyDescent="0.35">
      <c r="A73">
        <v>63</v>
      </c>
      <c r="B73">
        <f t="shared" ca="1" si="0"/>
        <v>9</v>
      </c>
      <c r="C73">
        <f t="shared" ca="1" si="1"/>
        <v>1094.0899999999999</v>
      </c>
      <c r="D73" s="1">
        <f t="shared" ca="1" si="2"/>
        <v>64.474473647679261</v>
      </c>
      <c r="E73">
        <f t="shared" ca="1" si="3"/>
        <v>898</v>
      </c>
      <c r="F73">
        <f t="shared" ca="1" si="4"/>
        <v>1</v>
      </c>
      <c r="G73">
        <f t="shared" ca="1" si="5"/>
        <v>16740.717629245966</v>
      </c>
      <c r="H73" cm="1">
        <f t="array" aca="1" ref="H73" ca="1">SUMPRODUCT(TRANSPOSE($B$4:$B$8),B73:F73)+$B$3+G73</f>
        <v>81155.728156292374</v>
      </c>
    </row>
    <row r="74" spans="1:8" x14ac:dyDescent="0.35">
      <c r="A74">
        <v>64</v>
      </c>
      <c r="B74">
        <f t="shared" ca="1" si="0"/>
        <v>8</v>
      </c>
      <c r="C74">
        <f t="shared" ca="1" si="1"/>
        <v>1915.72</v>
      </c>
      <c r="D74" s="1">
        <f t="shared" ca="1" si="2"/>
        <v>80.481532661299823</v>
      </c>
      <c r="E74">
        <f t="shared" ca="1" si="3"/>
        <v>700</v>
      </c>
      <c r="F74">
        <f t="shared" ca="1" si="4"/>
        <v>1</v>
      </c>
      <c r="G74">
        <f t="shared" ca="1" si="5"/>
        <v>10729.820163388536</v>
      </c>
      <c r="H74" cm="1">
        <f t="array" aca="1" ref="H74" ca="1">SUMPRODUCT(TRANSPOSE($B$4:$B$8),B74:F74)+$B$3+G74</f>
        <v>115806.18951016254</v>
      </c>
    </row>
    <row r="75" spans="1:8" x14ac:dyDescent="0.35">
      <c r="A75">
        <v>65</v>
      </c>
      <c r="B75">
        <f t="shared" ca="1" si="0"/>
        <v>8</v>
      </c>
      <c r="C75">
        <f t="shared" ca="1" si="1"/>
        <v>1144.5899999999999</v>
      </c>
      <c r="D75" s="1">
        <f t="shared" ca="1" si="2"/>
        <v>54.080540034643413</v>
      </c>
      <c r="E75">
        <f t="shared" ca="1" si="3"/>
        <v>847</v>
      </c>
      <c r="F75">
        <f t="shared" ca="1" si="4"/>
        <v>1</v>
      </c>
      <c r="G75">
        <f t="shared" ca="1" si="5"/>
        <v>-12082.184471075834</v>
      </c>
      <c r="H75" cm="1">
        <f t="array" aca="1" ref="H75" ca="1">SUMPRODUCT(TRANSPOSE($B$4:$B$8),B75:F75)+$B$3+G75</f>
        <v>54965.7047282313</v>
      </c>
    </row>
    <row r="76" spans="1:8" x14ac:dyDescent="0.35">
      <c r="A76">
        <v>66</v>
      </c>
      <c r="B76">
        <f t="shared" ca="1" si="0"/>
        <v>6</v>
      </c>
      <c r="C76">
        <f t="shared" ca="1" si="1"/>
        <v>1954.55</v>
      </c>
      <c r="D76" s="1">
        <f t="shared" ca="1" si="2"/>
        <v>36.460812564105737</v>
      </c>
      <c r="E76">
        <f t="shared" ca="1" si="3"/>
        <v>609</v>
      </c>
      <c r="F76">
        <f t="shared" ca="1" si="4"/>
        <v>1</v>
      </c>
      <c r="G76">
        <f t="shared" ref="G76:G110" ca="1" si="6">_xlfn.NORM.INV(RAND(),0,10000)</f>
        <v>10007.300105446046</v>
      </c>
      <c r="H76" cm="1">
        <f t="array" aca="1" ref="H76" ca="1">SUMPRODUCT(TRANSPOSE($B$4:$B$8),B76:F76)+$B$3+G76</f>
        <v>117705.58385416394</v>
      </c>
    </row>
    <row r="77" spans="1:8" x14ac:dyDescent="0.35">
      <c r="A77">
        <v>67</v>
      </c>
      <c r="B77">
        <f t="shared" ca="1" si="0"/>
        <v>8</v>
      </c>
      <c r="C77">
        <f t="shared" ca="1" si="1"/>
        <v>1114.8499999999999</v>
      </c>
      <c r="D77" s="1">
        <f t="shared" ca="1" si="2"/>
        <v>10.307072604622746</v>
      </c>
      <c r="E77">
        <f t="shared" ca="1" si="3"/>
        <v>721</v>
      </c>
      <c r="F77">
        <f t="shared" ca="1" si="4"/>
        <v>0</v>
      </c>
      <c r="G77">
        <f t="shared" ca="1" si="6"/>
        <v>-1574.1229085156231</v>
      </c>
      <c r="H77" cm="1">
        <f t="array" aca="1" ref="H77" ca="1">SUMPRODUCT(TRANSPOSE($B$4:$B$8),B77:F77)+$B$3+G77</f>
        <v>64762.235639391918</v>
      </c>
    </row>
    <row r="78" spans="1:8" x14ac:dyDescent="0.35">
      <c r="A78">
        <v>68</v>
      </c>
      <c r="B78">
        <f t="shared" ca="1" si="0"/>
        <v>6</v>
      </c>
      <c r="C78">
        <f t="shared" ca="1" si="1"/>
        <v>1168.8399999999999</v>
      </c>
      <c r="D78" s="1">
        <f t="shared" ca="1" si="2"/>
        <v>40.024904530825069</v>
      </c>
      <c r="E78">
        <f t="shared" ca="1" si="3"/>
        <v>731</v>
      </c>
      <c r="F78">
        <f t="shared" ca="1" si="4"/>
        <v>0</v>
      </c>
      <c r="G78">
        <f t="shared" ca="1" si="6"/>
        <v>6498.5913796013765</v>
      </c>
      <c r="H78" cm="1">
        <f t="array" aca="1" ref="H78" ca="1">SUMPRODUCT(TRANSPOSE($B$4:$B$8),B78:F78)+$B$3+G78</f>
        <v>74740.093288984863</v>
      </c>
    </row>
    <row r="79" spans="1:8" x14ac:dyDescent="0.35">
      <c r="A79">
        <v>69</v>
      </c>
      <c r="B79">
        <f t="shared" ca="1" si="0"/>
        <v>7</v>
      </c>
      <c r="C79">
        <f t="shared" ca="1" si="1"/>
        <v>1367.87</v>
      </c>
      <c r="D79" s="1">
        <f t="shared" ca="1" si="2"/>
        <v>73.932858220785391</v>
      </c>
      <c r="E79">
        <f t="shared" ca="1" si="3"/>
        <v>1069</v>
      </c>
      <c r="F79">
        <f t="shared" ca="1" si="4"/>
        <v>0</v>
      </c>
      <c r="G79">
        <f t="shared" ca="1" si="6"/>
        <v>-17664.463222492202</v>
      </c>
      <c r="H79" cm="1">
        <f t="array" aca="1" ref="H79" ca="1">SUMPRODUCT(TRANSPOSE($B$4:$B$8),B79:F79)+$B$3+G79</f>
        <v>59950.379613092089</v>
      </c>
    </row>
    <row r="80" spans="1:8" x14ac:dyDescent="0.35">
      <c r="A80">
        <v>70</v>
      </c>
      <c r="B80">
        <f t="shared" ca="1" si="0"/>
        <v>8</v>
      </c>
      <c r="C80">
        <f t="shared" ca="1" si="1"/>
        <v>1564.68</v>
      </c>
      <c r="D80" s="1">
        <f t="shared" ca="1" si="2"/>
        <v>52.455279624433246</v>
      </c>
      <c r="E80">
        <f t="shared" ca="1" si="3"/>
        <v>546</v>
      </c>
      <c r="F80">
        <f t="shared" ca="1" si="4"/>
        <v>1</v>
      </c>
      <c r="G80">
        <f t="shared" ca="1" si="6"/>
        <v>-9590.7818690019922</v>
      </c>
      <c r="H80" cm="1">
        <f t="array" aca="1" ref="H80" ca="1">SUMPRODUCT(TRANSPOSE($B$4:$B$8),B80:F80)+$B$3+G80</f>
        <v>78494.112538509347</v>
      </c>
    </row>
    <row r="81" spans="1:8" x14ac:dyDescent="0.35">
      <c r="A81">
        <v>71</v>
      </c>
      <c r="B81">
        <f t="shared" ca="1" si="0"/>
        <v>6</v>
      </c>
      <c r="C81">
        <f t="shared" ca="1" si="1"/>
        <v>1996.63</v>
      </c>
      <c r="D81" s="1">
        <f t="shared" ca="1" si="2"/>
        <v>75.623236498498017</v>
      </c>
      <c r="E81">
        <f t="shared" ca="1" si="3"/>
        <v>1016</v>
      </c>
      <c r="F81">
        <f t="shared" ca="1" si="4"/>
        <v>1</v>
      </c>
      <c r="G81">
        <f t="shared" ca="1" si="6"/>
        <v>1183.0439693340095</v>
      </c>
      <c r="H81" cm="1">
        <f t="array" aca="1" ref="H81" ca="1">SUMPRODUCT(TRANSPOSE($B$4:$B$8),B81:F81)+$B$3+G81</f>
        <v>110202.07923936406</v>
      </c>
    </row>
    <row r="82" spans="1:8" x14ac:dyDescent="0.35">
      <c r="A82">
        <v>72</v>
      </c>
      <c r="B82">
        <f t="shared" ca="1" si="0"/>
        <v>9</v>
      </c>
      <c r="C82">
        <f t="shared" ca="1" si="1"/>
        <v>1924.84</v>
      </c>
      <c r="D82" s="1">
        <f t="shared" ca="1" si="2"/>
        <v>50.177368001700167</v>
      </c>
      <c r="E82">
        <f t="shared" ca="1" si="3"/>
        <v>838</v>
      </c>
      <c r="F82">
        <f t="shared" ca="1" si="4"/>
        <v>1</v>
      </c>
      <c r="G82">
        <f t="shared" ca="1" si="6"/>
        <v>-6255.7020741010583</v>
      </c>
      <c r="H82" cm="1">
        <f t="array" aca="1" ref="H82" ca="1">SUMPRODUCT(TRANSPOSE($B$4:$B$8),B82:F82)+$B$3+G82</f>
        <v>99982.750565864932</v>
      </c>
    </row>
    <row r="83" spans="1:8" x14ac:dyDescent="0.35">
      <c r="A83">
        <v>73</v>
      </c>
      <c r="B83">
        <f t="shared" ca="1" si="0"/>
        <v>4</v>
      </c>
      <c r="C83">
        <f t="shared" ca="1" si="1"/>
        <v>1666.84</v>
      </c>
      <c r="D83" s="1">
        <f t="shared" ca="1" si="2"/>
        <v>52.66090332896048</v>
      </c>
      <c r="E83">
        <f t="shared" ca="1" si="3"/>
        <v>881</v>
      </c>
      <c r="F83">
        <f t="shared" ca="1" si="4"/>
        <v>1</v>
      </c>
      <c r="G83">
        <f t="shared" ca="1" si="6"/>
        <v>17821.695510049776</v>
      </c>
      <c r="H83" cm="1">
        <f t="array" aca="1" ref="H83" ca="1">SUMPRODUCT(TRANSPOSE($B$4:$B$8),B83:F83)+$B$3+G83</f>
        <v>110610.47744347056</v>
      </c>
    </row>
    <row r="84" spans="1:8" x14ac:dyDescent="0.35">
      <c r="A84">
        <v>74</v>
      </c>
      <c r="B84">
        <f t="shared" ca="1" si="0"/>
        <v>2</v>
      </c>
      <c r="C84">
        <f t="shared" ca="1" si="1"/>
        <v>1642.15</v>
      </c>
      <c r="D84" s="1">
        <f t="shared" ca="1" si="2"/>
        <v>61.559677361826772</v>
      </c>
      <c r="E84">
        <f t="shared" ca="1" si="3"/>
        <v>834</v>
      </c>
      <c r="F84">
        <f t="shared" ca="1" si="4"/>
        <v>1</v>
      </c>
      <c r="G84">
        <f t="shared" ca="1" si="6"/>
        <v>4990.4571501323016</v>
      </c>
      <c r="H84" cm="1">
        <f t="array" aca="1" ref="H84" ca="1">SUMPRODUCT(TRANSPOSE($B$4:$B$8),B84:F84)+$B$3+G84</f>
        <v>96166.763602895779</v>
      </c>
    </row>
    <row r="85" spans="1:8" x14ac:dyDescent="0.35">
      <c r="A85">
        <v>75</v>
      </c>
      <c r="B85">
        <f t="shared" ca="1" si="0"/>
        <v>6</v>
      </c>
      <c r="C85">
        <f t="shared" ca="1" si="1"/>
        <v>1574.08</v>
      </c>
      <c r="D85" s="1">
        <f t="shared" ca="1" si="2"/>
        <v>45.88726133362259</v>
      </c>
      <c r="E85">
        <f t="shared" ca="1" si="3"/>
        <v>699</v>
      </c>
      <c r="F85">
        <f t="shared" ca="1" si="4"/>
        <v>1</v>
      </c>
      <c r="G85">
        <f t="shared" ca="1" si="6"/>
        <v>-27621.832007308567</v>
      </c>
      <c r="H85" cm="1">
        <f t="array" aca="1" ref="H85" ca="1">SUMPRODUCT(TRANSPOSE($B$4:$B$8),B85:F85)+$B$3+G85</f>
        <v>60864.422766018979</v>
      </c>
    </row>
    <row r="86" spans="1:8" x14ac:dyDescent="0.35">
      <c r="A86">
        <v>76</v>
      </c>
      <c r="B86">
        <f t="shared" ca="1" si="0"/>
        <v>8</v>
      </c>
      <c r="C86">
        <f t="shared" ca="1" si="1"/>
        <v>1294.83</v>
      </c>
      <c r="D86" s="1">
        <f t="shared" ca="1" si="2"/>
        <v>31.06752664339438</v>
      </c>
      <c r="E86">
        <f t="shared" ca="1" si="3"/>
        <v>936</v>
      </c>
      <c r="F86">
        <f t="shared" ca="1" si="4"/>
        <v>1</v>
      </c>
      <c r="G86">
        <f t="shared" ca="1" si="6"/>
        <v>-7400.5396444789903</v>
      </c>
      <c r="H86" cm="1">
        <f t="array" aca="1" ref="H86" ca="1">SUMPRODUCT(TRANSPOSE($B$4:$B$8),B86:F86)+$B$3+G86</f>
        <v>67619.609822653118</v>
      </c>
    </row>
    <row r="87" spans="1:8" x14ac:dyDescent="0.35">
      <c r="A87">
        <v>77</v>
      </c>
      <c r="B87">
        <f t="shared" ca="1" si="0"/>
        <v>5</v>
      </c>
      <c r="C87">
        <f t="shared" ca="1" si="1"/>
        <v>1298.8800000000001</v>
      </c>
      <c r="D87" s="1">
        <f t="shared" ca="1" si="2"/>
        <v>58.265655330436978</v>
      </c>
      <c r="E87">
        <f t="shared" ca="1" si="3"/>
        <v>600</v>
      </c>
      <c r="F87">
        <f t="shared" ca="1" si="4"/>
        <v>0</v>
      </c>
      <c r="G87">
        <f t="shared" ca="1" si="6"/>
        <v>5066.8920027434651</v>
      </c>
      <c r="H87" cm="1">
        <f t="array" aca="1" ref="H87" ca="1">SUMPRODUCT(TRANSPOSE($B$4:$B$8),B87:F87)+$B$3+G87</f>
        <v>79345.578896134743</v>
      </c>
    </row>
    <row r="88" spans="1:8" x14ac:dyDescent="0.35">
      <c r="A88">
        <v>78</v>
      </c>
      <c r="B88">
        <f t="shared" ca="1" si="0"/>
        <v>4</v>
      </c>
      <c r="C88">
        <f t="shared" ca="1" si="1"/>
        <v>1134.68</v>
      </c>
      <c r="D88" s="1">
        <f t="shared" ca="1" si="2"/>
        <v>29.098838009596093</v>
      </c>
      <c r="E88">
        <f t="shared" ca="1" si="3"/>
        <v>867</v>
      </c>
      <c r="F88">
        <f t="shared" ca="1" si="4"/>
        <v>1</v>
      </c>
      <c r="G88">
        <f t="shared" ca="1" si="6"/>
        <v>6508.7634411871932</v>
      </c>
      <c r="H88" cm="1">
        <f t="array" aca="1" ref="H88" ca="1">SUMPRODUCT(TRANSPOSE($B$4:$B$8),B88:F88)+$B$3+G88</f>
        <v>73160.786680995268</v>
      </c>
    </row>
    <row r="89" spans="1:8" x14ac:dyDescent="0.35">
      <c r="A89">
        <v>79</v>
      </c>
      <c r="B89">
        <f t="shared" ca="1" si="0"/>
        <v>3</v>
      </c>
      <c r="C89">
        <f t="shared" ca="1" si="1"/>
        <v>1445.96</v>
      </c>
      <c r="D89" s="1">
        <f t="shared" ca="1" si="2"/>
        <v>49.4637317238452</v>
      </c>
      <c r="E89">
        <f t="shared" ca="1" si="3"/>
        <v>679</v>
      </c>
      <c r="F89">
        <f t="shared" ca="1" si="4"/>
        <v>1</v>
      </c>
      <c r="G89">
        <f t="shared" ca="1" si="6"/>
        <v>-2792.1161387521374</v>
      </c>
      <c r="H89" cm="1">
        <f t="array" aca="1" ref="H89" ca="1">SUMPRODUCT(TRANSPOSE($B$4:$B$8),B89:F89)+$B$3+G89</f>
        <v>78916.609226770946</v>
      </c>
    </row>
    <row r="90" spans="1:8" x14ac:dyDescent="0.35">
      <c r="A90">
        <v>80</v>
      </c>
      <c r="B90">
        <f t="shared" ca="1" si="0"/>
        <v>7</v>
      </c>
      <c r="C90">
        <f t="shared" ca="1" si="1"/>
        <v>1567.72</v>
      </c>
      <c r="D90" s="1">
        <f t="shared" ca="1" si="2"/>
        <v>31.323440605493705</v>
      </c>
      <c r="E90">
        <f t="shared" ca="1" si="3"/>
        <v>936</v>
      </c>
      <c r="F90">
        <f t="shared" ca="1" si="4"/>
        <v>1</v>
      </c>
      <c r="G90">
        <f t="shared" ca="1" si="6"/>
        <v>4430.4466872835883</v>
      </c>
      <c r="H90" cm="1">
        <f t="array" aca="1" ref="H90" ca="1">SUMPRODUCT(TRANSPOSE($B$4:$B$8),B90:F90)+$B$3+G90</f>
        <v>92989.977875173718</v>
      </c>
    </row>
    <row r="91" spans="1:8" x14ac:dyDescent="0.35">
      <c r="A91">
        <v>81</v>
      </c>
      <c r="B91">
        <f t="shared" ca="1" si="0"/>
        <v>5</v>
      </c>
      <c r="C91">
        <f t="shared" ca="1" si="1"/>
        <v>1290.6600000000001</v>
      </c>
      <c r="D91" s="1">
        <f t="shared" ca="1" si="2"/>
        <v>31.330986442813519</v>
      </c>
      <c r="E91">
        <f t="shared" ca="1" si="3"/>
        <v>569</v>
      </c>
      <c r="F91">
        <f t="shared" ca="1" si="4"/>
        <v>1</v>
      </c>
      <c r="G91">
        <f t="shared" ca="1" si="6"/>
        <v>20995.473500423483</v>
      </c>
      <c r="H91" cm="1">
        <f t="array" aca="1" ref="H91" ca="1">SUMPRODUCT(TRANSPOSE($B$4:$B$8),B91:F91)+$B$3+G91</f>
        <v>95501.853771567228</v>
      </c>
    </row>
    <row r="92" spans="1:8" x14ac:dyDescent="0.35">
      <c r="A92">
        <v>82</v>
      </c>
      <c r="B92">
        <f t="shared" ca="1" si="0"/>
        <v>8</v>
      </c>
      <c r="C92">
        <f t="shared" ca="1" si="1"/>
        <v>1168.23</v>
      </c>
      <c r="D92" s="1">
        <f t="shared" ca="1" si="2"/>
        <v>70.475783603043212</v>
      </c>
      <c r="E92">
        <f t="shared" ca="1" si="3"/>
        <v>1025</v>
      </c>
      <c r="F92">
        <f t="shared" ca="1" si="4"/>
        <v>1</v>
      </c>
      <c r="G92">
        <f t="shared" ca="1" si="6"/>
        <v>9273.5141951851219</v>
      </c>
      <c r="H92" cm="1">
        <f t="array" aca="1" ref="H92" ca="1">SUMPRODUCT(TRANSPOSE($B$4:$B$8),B92:F92)+$B$3+G92</f>
        <v>77175.498523124261</v>
      </c>
    </row>
    <row r="93" spans="1:8" x14ac:dyDescent="0.35">
      <c r="A93">
        <v>83</v>
      </c>
      <c r="B93">
        <f t="shared" ca="1" si="0"/>
        <v>9</v>
      </c>
      <c r="C93">
        <f t="shared" ca="1" si="1"/>
        <v>1720.34</v>
      </c>
      <c r="D93" s="1">
        <f t="shared" ca="1" si="2"/>
        <v>67.861206212453311</v>
      </c>
      <c r="E93">
        <f t="shared" ca="1" si="3"/>
        <v>1012</v>
      </c>
      <c r="F93">
        <f t="shared" ca="1" si="4"/>
        <v>0</v>
      </c>
      <c r="G93">
        <f t="shared" ca="1" si="6"/>
        <v>-11757.510274519127</v>
      </c>
      <c r="H93" cm="1">
        <f t="array" aca="1" ref="H93" ca="1">SUMPRODUCT(TRANSPOSE($B$4:$B$8),B93:F93)+$B$3+G93</f>
        <v>83802.265601231804</v>
      </c>
    </row>
    <row r="94" spans="1:8" x14ac:dyDescent="0.35">
      <c r="A94">
        <v>84</v>
      </c>
      <c r="B94">
        <f t="shared" ca="1" si="0"/>
        <v>3</v>
      </c>
      <c r="C94">
        <f t="shared" ca="1" si="1"/>
        <v>1441.43</v>
      </c>
      <c r="D94" s="1">
        <f t="shared" ca="1" si="2"/>
        <v>76.303090206947616</v>
      </c>
      <c r="E94">
        <f t="shared" ca="1" si="3"/>
        <v>977</v>
      </c>
      <c r="F94">
        <f t="shared" ca="1" si="4"/>
        <v>1</v>
      </c>
      <c r="G94">
        <f t="shared" ca="1" si="6"/>
        <v>13040.467169611118</v>
      </c>
      <c r="H94" cm="1">
        <f t="array" aca="1" ref="H94" ca="1">SUMPRODUCT(TRANSPOSE($B$4:$B$8),B94:F94)+$B$3+G94</f>
        <v>93985.905365472165</v>
      </c>
    </row>
    <row r="95" spans="1:8" x14ac:dyDescent="0.35">
      <c r="A95">
        <v>85</v>
      </c>
      <c r="B95">
        <f t="shared" ca="1" si="0"/>
        <v>4</v>
      </c>
      <c r="C95">
        <f t="shared" ca="1" si="1"/>
        <v>1430.89</v>
      </c>
      <c r="D95" s="1">
        <f t="shared" ca="1" si="2"/>
        <v>54.947126291389729</v>
      </c>
      <c r="E95">
        <f t="shared" ca="1" si="3"/>
        <v>899</v>
      </c>
      <c r="F95">
        <f t="shared" ca="1" si="4"/>
        <v>1</v>
      </c>
      <c r="G95">
        <f t="shared" ca="1" si="6"/>
        <v>-6779.786205994892</v>
      </c>
      <c r="H95" cm="1">
        <f t="array" aca="1" ref="H95" ca="1">SUMPRODUCT(TRANSPOSE($B$4:$B$8),B95:F95)+$B$3+G95</f>
        <v>74165.771268177312</v>
      </c>
    </row>
    <row r="96" spans="1:8" x14ac:dyDescent="0.35">
      <c r="A96">
        <v>86</v>
      </c>
      <c r="B96">
        <f t="shared" ca="1" si="0"/>
        <v>8</v>
      </c>
      <c r="C96">
        <f t="shared" ca="1" si="1"/>
        <v>1072.9000000000001</v>
      </c>
      <c r="D96" s="1">
        <f t="shared" ca="1" si="2"/>
        <v>55.198587905868528</v>
      </c>
      <c r="E96">
        <f t="shared" ca="1" si="3"/>
        <v>563</v>
      </c>
      <c r="F96">
        <f t="shared" ca="1" si="4"/>
        <v>0</v>
      </c>
      <c r="G96">
        <f t="shared" ca="1" si="6"/>
        <v>2920.5400579426223</v>
      </c>
      <c r="H96" cm="1">
        <f t="array" aca="1" ref="H96" ca="1">SUMPRODUCT(TRANSPOSE($B$4:$B$8),B96:F96)+$B$3+G96</f>
        <v>66261.56829982526</v>
      </c>
    </row>
    <row r="97" spans="1:8" x14ac:dyDescent="0.35">
      <c r="A97">
        <v>87</v>
      </c>
      <c r="B97">
        <f t="shared" ca="1" si="0"/>
        <v>4</v>
      </c>
      <c r="C97">
        <f t="shared" ca="1" si="1"/>
        <v>1376.59</v>
      </c>
      <c r="D97" s="1">
        <f t="shared" ca="1" si="2"/>
        <v>25.828854292534448</v>
      </c>
      <c r="E97">
        <f t="shared" ca="1" si="3"/>
        <v>935</v>
      </c>
      <c r="F97">
        <f t="shared" ca="1" si="4"/>
        <v>0</v>
      </c>
      <c r="G97">
        <f t="shared" ca="1" si="6"/>
        <v>3475.2091679545561</v>
      </c>
      <c r="H97" cm="1">
        <f t="array" aca="1" ref="H97" ca="1">SUMPRODUCT(TRANSPOSE($B$4:$B$8),B97:F97)+$B$3+G97</f>
        <v>82188.132082103868</v>
      </c>
    </row>
    <row r="98" spans="1:8" x14ac:dyDescent="0.35">
      <c r="A98">
        <v>88</v>
      </c>
      <c r="B98">
        <f t="shared" ca="1" si="0"/>
        <v>4</v>
      </c>
      <c r="C98">
        <f t="shared" ca="1" si="1"/>
        <v>1760.46</v>
      </c>
      <c r="D98" s="1">
        <f t="shared" ca="1" si="2"/>
        <v>64.862126469360064</v>
      </c>
      <c r="E98">
        <f t="shared" ca="1" si="3"/>
        <v>999</v>
      </c>
      <c r="F98">
        <f t="shared" ca="1" si="4"/>
        <v>0</v>
      </c>
      <c r="G98">
        <f t="shared" ca="1" si="6"/>
        <v>-2041.9503690501742</v>
      </c>
      <c r="H98" cm="1">
        <f t="array" aca="1" ref="H98" ca="1">SUMPRODUCT(TRANSPOSE($B$4:$B$8),B98:F98)+$B$3+G98</f>
        <v>95083.807101562619</v>
      </c>
    </row>
    <row r="99" spans="1:8" x14ac:dyDescent="0.35">
      <c r="A99">
        <v>89</v>
      </c>
      <c r="B99">
        <f t="shared" ca="1" si="0"/>
        <v>8</v>
      </c>
      <c r="C99">
        <f t="shared" ca="1" si="1"/>
        <v>1703.1</v>
      </c>
      <c r="D99" s="1">
        <f t="shared" ca="1" si="2"/>
        <v>73.543360977860488</v>
      </c>
      <c r="E99">
        <f t="shared" ca="1" si="3"/>
        <v>728</v>
      </c>
      <c r="F99">
        <f t="shared" ca="1" si="4"/>
        <v>0</v>
      </c>
      <c r="G99">
        <f t="shared" ca="1" si="6"/>
        <v>-5217.189628103396</v>
      </c>
      <c r="H99" cm="1">
        <f t="array" aca="1" ref="H99" ca="1">SUMPRODUCT(TRANSPOSE($B$4:$B$8),B99:F99)+$B$3+G99</f>
        <v>89266.943152339387</v>
      </c>
    </row>
    <row r="100" spans="1:8" x14ac:dyDescent="0.35">
      <c r="A100">
        <v>90</v>
      </c>
      <c r="B100">
        <f t="shared" ca="1" si="0"/>
        <v>10</v>
      </c>
      <c r="C100">
        <f t="shared" ca="1" si="1"/>
        <v>1657.14</v>
      </c>
      <c r="D100" s="1">
        <f t="shared" ca="1" si="2"/>
        <v>80.350324036936613</v>
      </c>
      <c r="E100">
        <f t="shared" ca="1" si="3"/>
        <v>511</v>
      </c>
      <c r="F100">
        <f t="shared" ca="1" si="4"/>
        <v>1</v>
      </c>
      <c r="G100">
        <f t="shared" ca="1" si="6"/>
        <v>17187.472116808131</v>
      </c>
      <c r="H100" cm="1">
        <f t="array" aca="1" ref="H100" ca="1">SUMPRODUCT(TRANSPOSE($B$4:$B$8),B100:F100)+$B$3+G100</f>
        <v>109537.46563606939</v>
      </c>
    </row>
    <row r="101" spans="1:8" x14ac:dyDescent="0.35">
      <c r="A101">
        <v>91</v>
      </c>
      <c r="B101">
        <f t="shared" ca="1" si="0"/>
        <v>7</v>
      </c>
      <c r="C101">
        <f t="shared" ca="1" si="1"/>
        <v>1168.3499999999999</v>
      </c>
      <c r="D101" s="1">
        <f t="shared" ca="1" si="2"/>
        <v>89.242427990780243</v>
      </c>
      <c r="E101">
        <f t="shared" ca="1" si="3"/>
        <v>830</v>
      </c>
      <c r="F101">
        <f t="shared" ca="1" si="4"/>
        <v>0</v>
      </c>
      <c r="G101">
        <f t="shared" ca="1" si="6"/>
        <v>4288.875609518198</v>
      </c>
      <c r="H101" cm="1">
        <f t="array" aca="1" ref="H101" ca="1">SUMPRODUCT(TRANSPOSE($B$4:$B$8),B101:F101)+$B$3+G101</f>
        <v>71621.527049702592</v>
      </c>
    </row>
    <row r="102" spans="1:8" x14ac:dyDescent="0.35">
      <c r="A102">
        <v>92</v>
      </c>
      <c r="B102">
        <f t="shared" ca="1" si="0"/>
        <v>9</v>
      </c>
      <c r="C102">
        <f t="shared" ca="1" si="1"/>
        <v>1624.29</v>
      </c>
      <c r="D102" s="1">
        <f t="shared" ca="1" si="2"/>
        <v>61.675559491758989</v>
      </c>
      <c r="E102">
        <f t="shared" ca="1" si="3"/>
        <v>983</v>
      </c>
      <c r="F102">
        <f t="shared" ca="1" si="4"/>
        <v>0</v>
      </c>
      <c r="G102">
        <f t="shared" ca="1" si="6"/>
        <v>13240.323253692664</v>
      </c>
      <c r="H102" cm="1">
        <f t="array" aca="1" ref="H102" ca="1">SUMPRODUCT(TRANSPOSE($B$4:$B$8),B102:F102)+$B$3+G102</f>
        <v>104121.31206385749</v>
      </c>
    </row>
    <row r="103" spans="1:8" x14ac:dyDescent="0.35">
      <c r="A103">
        <v>93</v>
      </c>
      <c r="B103">
        <f t="shared" ca="1" si="0"/>
        <v>4</v>
      </c>
      <c r="C103">
        <f t="shared" ca="1" si="1"/>
        <v>1267.29</v>
      </c>
      <c r="D103" s="1">
        <f t="shared" ca="1" si="2"/>
        <v>59.58902915868704</v>
      </c>
      <c r="E103">
        <f t="shared" ca="1" si="3"/>
        <v>936</v>
      </c>
      <c r="F103">
        <f t="shared" ca="1" si="4"/>
        <v>0</v>
      </c>
      <c r="G103">
        <f t="shared" ca="1" si="6"/>
        <v>-13986.456623225229</v>
      </c>
      <c r="H103" cm="1">
        <f t="array" aca="1" ref="H103" ca="1">SUMPRODUCT(TRANSPOSE($B$4:$B$8),B103:F103)+$B$3+G103</f>
        <v>58586.262793601039</v>
      </c>
    </row>
    <row r="104" spans="1:8" x14ac:dyDescent="0.35">
      <c r="A104">
        <v>94</v>
      </c>
      <c r="B104">
        <f t="shared" ca="1" si="0"/>
        <v>4</v>
      </c>
      <c r="C104">
        <f t="shared" ca="1" si="1"/>
        <v>1306.4100000000001</v>
      </c>
      <c r="D104" s="1">
        <f t="shared" ca="1" si="2"/>
        <v>36.174176161307287</v>
      </c>
      <c r="E104">
        <f t="shared" ca="1" si="3"/>
        <v>563</v>
      </c>
      <c r="F104">
        <f t="shared" ca="1" si="4"/>
        <v>0</v>
      </c>
      <c r="G104">
        <f t="shared" ca="1" si="6"/>
        <v>150.02795376838941</v>
      </c>
      <c r="H104" cm="1">
        <f t="array" aca="1" ref="H104" ca="1">SUMPRODUCT(TRANSPOSE($B$4:$B$8),B104:F104)+$B$3+G104</f>
        <v>75147.044430542257</v>
      </c>
    </row>
    <row r="105" spans="1:8" x14ac:dyDescent="0.35">
      <c r="A105">
        <v>95</v>
      </c>
      <c r="B105">
        <f t="shared" ca="1" si="0"/>
        <v>10</v>
      </c>
      <c r="C105">
        <f t="shared" ca="1" si="1"/>
        <v>1972.54</v>
      </c>
      <c r="D105" s="1">
        <f t="shared" ca="1" si="2"/>
        <v>49.810136011396381</v>
      </c>
      <c r="E105">
        <f t="shared" ca="1" si="3"/>
        <v>606</v>
      </c>
      <c r="F105">
        <f t="shared" ca="1" si="4"/>
        <v>1</v>
      </c>
      <c r="G105">
        <f t="shared" ca="1" si="6"/>
        <v>-17312.726083127007</v>
      </c>
      <c r="H105" cm="1">
        <f t="array" aca="1" ref="H105" ca="1">SUMPRODUCT(TRANSPOSE($B$4:$B$8),B105:F105)+$B$3+G105</f>
        <v>91418.071196645062</v>
      </c>
    </row>
    <row r="106" spans="1:8" x14ac:dyDescent="0.35">
      <c r="A106">
        <v>96</v>
      </c>
      <c r="B106">
        <f t="shared" ca="1" si="0"/>
        <v>6</v>
      </c>
      <c r="C106">
        <f t="shared" ca="1" si="1"/>
        <v>1091.23</v>
      </c>
      <c r="D106" s="1">
        <f t="shared" ca="1" si="2"/>
        <v>68.878634815260625</v>
      </c>
      <c r="E106">
        <f t="shared" ca="1" si="3"/>
        <v>663</v>
      </c>
      <c r="F106">
        <f t="shared" ca="1" si="4"/>
        <v>0</v>
      </c>
      <c r="G106">
        <f t="shared" ca="1" si="6"/>
        <v>8324.3690475597468</v>
      </c>
      <c r="H106" cm="1">
        <f t="array" aca="1" ref="H106" ca="1">SUMPRODUCT(TRANSPOSE($B$4:$B$8),B106:F106)+$B$3+G106</f>
        <v>72108.296351254539</v>
      </c>
    </row>
    <row r="107" spans="1:8" x14ac:dyDescent="0.35">
      <c r="A107">
        <v>97</v>
      </c>
      <c r="B107">
        <f t="shared" ca="1" si="0"/>
        <v>10</v>
      </c>
      <c r="C107">
        <f t="shared" ca="1" si="1"/>
        <v>1486.46</v>
      </c>
      <c r="D107" s="1">
        <f t="shared" ca="1" si="2"/>
        <v>34.413716137951823</v>
      </c>
      <c r="E107">
        <f t="shared" ca="1" si="3"/>
        <v>543</v>
      </c>
      <c r="F107">
        <f t="shared" ca="1" si="4"/>
        <v>0</v>
      </c>
      <c r="G107">
        <f t="shared" ca="1" si="6"/>
        <v>-2361.9600936001502</v>
      </c>
      <c r="H107" cm="1">
        <f t="array" aca="1" ref="H107" ca="1">SUMPRODUCT(TRANSPOSE($B$4:$B$8),B107:F107)+$B$3+G107</f>
        <v>82272.765583640808</v>
      </c>
    </row>
    <row r="108" spans="1:8" x14ac:dyDescent="0.35">
      <c r="A108">
        <v>98</v>
      </c>
      <c r="B108">
        <f t="shared" ca="1" si="0"/>
        <v>5</v>
      </c>
      <c r="C108">
        <f t="shared" ca="1" si="1"/>
        <v>1921.34</v>
      </c>
      <c r="D108" s="1">
        <f t="shared" ca="1" si="2"/>
        <v>49.884983132616689</v>
      </c>
      <c r="E108">
        <f t="shared" ca="1" si="3"/>
        <v>592</v>
      </c>
      <c r="F108">
        <f t="shared" ca="1" si="4"/>
        <v>1</v>
      </c>
      <c r="G108">
        <f t="shared" ca="1" si="6"/>
        <v>-2873.0466209421838</v>
      </c>
      <c r="H108" cm="1">
        <f t="array" aca="1" ref="H108" ca="1">SUMPRODUCT(TRANSPOSE($B$4:$B$8),B108:F108)+$B$3+G108</f>
        <v>102796.25371640548</v>
      </c>
    </row>
    <row r="109" spans="1:8" x14ac:dyDescent="0.35">
      <c r="A109">
        <v>99</v>
      </c>
      <c r="B109">
        <f t="shared" ca="1" si="0"/>
        <v>4</v>
      </c>
      <c r="C109">
        <f t="shared" ca="1" si="1"/>
        <v>1785.78</v>
      </c>
      <c r="D109" s="1">
        <f t="shared" ca="1" si="2"/>
        <v>18.134858723610591</v>
      </c>
      <c r="E109">
        <f t="shared" ca="1" si="3"/>
        <v>1059</v>
      </c>
      <c r="F109">
        <f t="shared" ca="1" si="4"/>
        <v>1</v>
      </c>
      <c r="G109">
        <f t="shared" ca="1" si="6"/>
        <v>-10571.786048573555</v>
      </c>
      <c r="H109" cm="1">
        <f t="array" aca="1" ref="H109" ca="1">SUMPRODUCT(TRANSPOSE($B$4:$B$8),B109:F109)+$B$3+G109</f>
        <v>88854.516776954231</v>
      </c>
    </row>
    <row r="110" spans="1:8" x14ac:dyDescent="0.35">
      <c r="A110">
        <v>100</v>
      </c>
      <c r="B110">
        <f t="shared" ca="1" si="0"/>
        <v>8</v>
      </c>
      <c r="C110">
        <f t="shared" ca="1" si="1"/>
        <v>1972.3</v>
      </c>
      <c r="D110" s="1">
        <f t="shared" ca="1" si="2"/>
        <v>38.404958760797243</v>
      </c>
      <c r="E110">
        <f t="shared" ca="1" si="3"/>
        <v>701</v>
      </c>
      <c r="F110">
        <f t="shared" ca="1" si="4"/>
        <v>0</v>
      </c>
      <c r="G110">
        <f t="shared" ca="1" si="6"/>
        <v>-1453.7272495460049</v>
      </c>
      <c r="H110" cm="1">
        <f t="array" aca="1" ref="H110" ca="1">SUMPRODUCT(TRANSPOSE($B$4:$B$8),B110:F110)+$B$3+G110</f>
        <v>107193.17357523805</v>
      </c>
    </row>
    <row r="111" spans="1:8" x14ac:dyDescent="0.35">
      <c r="D111" s="1"/>
    </row>
    <row r="112" spans="1:8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M. Becker</dc:creator>
  <cp:lastModifiedBy>Sebastian Alexander Smith</cp:lastModifiedBy>
  <dcterms:created xsi:type="dcterms:W3CDTF">2023-09-26T11:27:02Z</dcterms:created>
  <dcterms:modified xsi:type="dcterms:W3CDTF">2023-10-03T12:03:20Z</dcterms:modified>
</cp:coreProperties>
</file>