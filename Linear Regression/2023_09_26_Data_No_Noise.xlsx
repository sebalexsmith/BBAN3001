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l\Downloads\"/>
    </mc:Choice>
  </mc:AlternateContent>
  <xr:revisionPtr revIDLastSave="0" documentId="13_ncr:1_{51616D22-98E9-49D3-979D-F59D927C814C}" xr6:coauthVersionLast="47" xr6:coauthVersionMax="47" xr10:uidLastSave="{00000000-0000-0000-0000-000000000000}"/>
  <bookViews>
    <workbookView xWindow="-110" yWindow="-110" windowWidth="19420" windowHeight="11020" activeTab="1" xr2:uid="{8246CE46-F7F2-4256-8953-509BA8FE15A9}"/>
  </bookViews>
  <sheets>
    <sheet name="Data" sheetId="2" r:id="rId1"/>
    <sheet name="Rando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C17" i="1"/>
  <c r="D17" i="1"/>
  <c r="E17" i="1"/>
  <c r="F17" i="1"/>
  <c r="B18" i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B22" i="1"/>
  <c r="C22" i="1"/>
  <c r="D22" i="1"/>
  <c r="E22" i="1"/>
  <c r="F22" i="1"/>
  <c r="B23" i="1"/>
  <c r="C23" i="1"/>
  <c r="D23" i="1"/>
  <c r="E23" i="1"/>
  <c r="F23" i="1"/>
  <c r="B24" i="1"/>
  <c r="C24" i="1"/>
  <c r="D24" i="1"/>
  <c r="E24" i="1"/>
  <c r="F24" i="1"/>
  <c r="B25" i="1"/>
  <c r="C25" i="1"/>
  <c r="D25" i="1"/>
  <c r="E25" i="1"/>
  <c r="F25" i="1"/>
  <c r="B26" i="1"/>
  <c r="C26" i="1"/>
  <c r="D26" i="1"/>
  <c r="E26" i="1"/>
  <c r="F26" i="1"/>
  <c r="B27" i="1"/>
  <c r="C27" i="1"/>
  <c r="D27" i="1"/>
  <c r="E27" i="1"/>
  <c r="F27" i="1"/>
  <c r="B28" i="1"/>
  <c r="C28" i="1"/>
  <c r="D28" i="1"/>
  <c r="E28" i="1"/>
  <c r="F28" i="1"/>
  <c r="B29" i="1"/>
  <c r="C29" i="1"/>
  <c r="D29" i="1"/>
  <c r="E29" i="1"/>
  <c r="F29" i="1"/>
  <c r="B30" i="1"/>
  <c r="C30" i="1"/>
  <c r="D30" i="1"/>
  <c r="E30" i="1"/>
  <c r="F30" i="1"/>
  <c r="B31" i="1"/>
  <c r="C31" i="1"/>
  <c r="D31" i="1"/>
  <c r="E31" i="1"/>
  <c r="F31" i="1"/>
  <c r="B32" i="1"/>
  <c r="C32" i="1"/>
  <c r="D32" i="1"/>
  <c r="E32" i="1"/>
  <c r="F32" i="1"/>
  <c r="B33" i="1"/>
  <c r="C33" i="1"/>
  <c r="D33" i="1"/>
  <c r="E33" i="1"/>
  <c r="F33" i="1"/>
  <c r="B34" i="1"/>
  <c r="C34" i="1"/>
  <c r="D34" i="1"/>
  <c r="E34" i="1"/>
  <c r="F34" i="1"/>
  <c r="B35" i="1"/>
  <c r="C35" i="1"/>
  <c r="D35" i="1"/>
  <c r="E35" i="1"/>
  <c r="F35" i="1"/>
  <c r="B36" i="1"/>
  <c r="C36" i="1"/>
  <c r="D36" i="1"/>
  <c r="E36" i="1"/>
  <c r="F36" i="1"/>
  <c r="B37" i="1"/>
  <c r="C37" i="1"/>
  <c r="D37" i="1"/>
  <c r="E37" i="1"/>
  <c r="F37" i="1"/>
  <c r="B38" i="1"/>
  <c r="C38" i="1"/>
  <c r="D38" i="1"/>
  <c r="E38" i="1"/>
  <c r="F38" i="1"/>
  <c r="B39" i="1"/>
  <c r="C39" i="1"/>
  <c r="D39" i="1"/>
  <c r="E39" i="1"/>
  <c r="F39" i="1"/>
  <c r="B40" i="1"/>
  <c r="C40" i="1"/>
  <c r="D40" i="1"/>
  <c r="E40" i="1"/>
  <c r="F40" i="1"/>
  <c r="B41" i="1"/>
  <c r="C41" i="1"/>
  <c r="D41" i="1"/>
  <c r="E41" i="1"/>
  <c r="F41" i="1"/>
  <c r="B42" i="1"/>
  <c r="C42" i="1"/>
  <c r="D42" i="1"/>
  <c r="E42" i="1"/>
  <c r="F42" i="1"/>
  <c r="B43" i="1"/>
  <c r="C43" i="1"/>
  <c r="D43" i="1"/>
  <c r="E43" i="1"/>
  <c r="F43" i="1"/>
  <c r="B44" i="1"/>
  <c r="C44" i="1"/>
  <c r="D44" i="1"/>
  <c r="E44" i="1"/>
  <c r="F44" i="1"/>
  <c r="B45" i="1"/>
  <c r="C45" i="1"/>
  <c r="D45" i="1"/>
  <c r="E45" i="1"/>
  <c r="F45" i="1"/>
  <c r="B46" i="1"/>
  <c r="C46" i="1"/>
  <c r="D46" i="1"/>
  <c r="E46" i="1"/>
  <c r="F46" i="1"/>
  <c r="B47" i="1"/>
  <c r="C47" i="1"/>
  <c r="D47" i="1"/>
  <c r="E47" i="1"/>
  <c r="F47" i="1"/>
  <c r="B48" i="1"/>
  <c r="C48" i="1"/>
  <c r="D48" i="1"/>
  <c r="E48" i="1"/>
  <c r="F48" i="1"/>
  <c r="B49" i="1"/>
  <c r="C49" i="1"/>
  <c r="D49" i="1"/>
  <c r="E49" i="1"/>
  <c r="F49" i="1"/>
  <c r="B50" i="1"/>
  <c r="C50" i="1"/>
  <c r="D50" i="1"/>
  <c r="E50" i="1"/>
  <c r="F50" i="1"/>
  <c r="B51" i="1"/>
  <c r="C51" i="1"/>
  <c r="D51" i="1"/>
  <c r="E51" i="1"/>
  <c r="F51" i="1"/>
  <c r="B52" i="1"/>
  <c r="C52" i="1"/>
  <c r="D52" i="1"/>
  <c r="E52" i="1"/>
  <c r="F52" i="1"/>
  <c r="B53" i="1"/>
  <c r="C53" i="1"/>
  <c r="D53" i="1"/>
  <c r="E53" i="1"/>
  <c r="F53" i="1"/>
  <c r="B54" i="1"/>
  <c r="C54" i="1"/>
  <c r="D54" i="1"/>
  <c r="E54" i="1"/>
  <c r="F54" i="1"/>
  <c r="B55" i="1"/>
  <c r="C55" i="1"/>
  <c r="D55" i="1"/>
  <c r="E55" i="1"/>
  <c r="F55" i="1"/>
  <c r="B56" i="1"/>
  <c r="C56" i="1"/>
  <c r="D56" i="1"/>
  <c r="E56" i="1"/>
  <c r="F56" i="1"/>
  <c r="B57" i="1"/>
  <c r="C57" i="1"/>
  <c r="D57" i="1"/>
  <c r="E57" i="1"/>
  <c r="F57" i="1"/>
  <c r="B58" i="1"/>
  <c r="C58" i="1"/>
  <c r="D58" i="1"/>
  <c r="E58" i="1"/>
  <c r="F58" i="1"/>
  <c r="B59" i="1"/>
  <c r="C59" i="1"/>
  <c r="D59" i="1"/>
  <c r="E59" i="1"/>
  <c r="F59" i="1"/>
  <c r="B60" i="1"/>
  <c r="C60" i="1"/>
  <c r="D60" i="1"/>
  <c r="E60" i="1"/>
  <c r="F60" i="1"/>
  <c r="B61" i="1"/>
  <c r="C61" i="1"/>
  <c r="D61" i="1"/>
  <c r="E61" i="1"/>
  <c r="F61" i="1"/>
  <c r="B62" i="1"/>
  <c r="C62" i="1"/>
  <c r="D62" i="1"/>
  <c r="E62" i="1"/>
  <c r="F62" i="1"/>
  <c r="B63" i="1"/>
  <c r="C63" i="1"/>
  <c r="D63" i="1"/>
  <c r="E63" i="1"/>
  <c r="F63" i="1"/>
  <c r="B64" i="1"/>
  <c r="C64" i="1"/>
  <c r="D64" i="1"/>
  <c r="E64" i="1"/>
  <c r="F64" i="1"/>
  <c r="B65" i="1"/>
  <c r="C65" i="1"/>
  <c r="D65" i="1"/>
  <c r="E65" i="1"/>
  <c r="F65" i="1"/>
  <c r="B66" i="1"/>
  <c r="C66" i="1"/>
  <c r="D66" i="1"/>
  <c r="E66" i="1"/>
  <c r="F66" i="1"/>
  <c r="B67" i="1"/>
  <c r="C67" i="1"/>
  <c r="D67" i="1"/>
  <c r="E67" i="1"/>
  <c r="F67" i="1"/>
  <c r="B68" i="1"/>
  <c r="C68" i="1"/>
  <c r="D68" i="1"/>
  <c r="E68" i="1"/>
  <c r="F68" i="1"/>
  <c r="B69" i="1"/>
  <c r="C69" i="1"/>
  <c r="D69" i="1"/>
  <c r="E69" i="1"/>
  <c r="F69" i="1"/>
  <c r="B70" i="1"/>
  <c r="C70" i="1"/>
  <c r="D70" i="1"/>
  <c r="E70" i="1"/>
  <c r="F70" i="1"/>
  <c r="B71" i="1"/>
  <c r="C71" i="1"/>
  <c r="D71" i="1"/>
  <c r="E71" i="1"/>
  <c r="F71" i="1"/>
  <c r="B72" i="1"/>
  <c r="C72" i="1"/>
  <c r="D72" i="1"/>
  <c r="E72" i="1"/>
  <c r="F72" i="1"/>
  <c r="B73" i="1"/>
  <c r="C73" i="1"/>
  <c r="D73" i="1"/>
  <c r="E73" i="1"/>
  <c r="F73" i="1"/>
  <c r="B74" i="1"/>
  <c r="C74" i="1"/>
  <c r="D74" i="1"/>
  <c r="E74" i="1"/>
  <c r="F74" i="1"/>
  <c r="B75" i="1"/>
  <c r="C75" i="1"/>
  <c r="D75" i="1"/>
  <c r="E75" i="1"/>
  <c r="F75" i="1"/>
  <c r="B76" i="1"/>
  <c r="C76" i="1"/>
  <c r="D76" i="1"/>
  <c r="E76" i="1"/>
  <c r="F76" i="1"/>
  <c r="B77" i="1"/>
  <c r="C77" i="1"/>
  <c r="D77" i="1"/>
  <c r="E77" i="1"/>
  <c r="F77" i="1"/>
  <c r="B78" i="1"/>
  <c r="C78" i="1"/>
  <c r="D78" i="1"/>
  <c r="E78" i="1"/>
  <c r="F78" i="1"/>
  <c r="B79" i="1"/>
  <c r="C79" i="1"/>
  <c r="D79" i="1"/>
  <c r="E79" i="1"/>
  <c r="F79" i="1"/>
  <c r="B80" i="1"/>
  <c r="C80" i="1"/>
  <c r="D80" i="1"/>
  <c r="E80" i="1"/>
  <c r="F80" i="1"/>
  <c r="B81" i="1"/>
  <c r="C81" i="1"/>
  <c r="D81" i="1"/>
  <c r="E81" i="1"/>
  <c r="F81" i="1"/>
  <c r="B82" i="1"/>
  <c r="C82" i="1"/>
  <c r="D82" i="1"/>
  <c r="E82" i="1"/>
  <c r="F82" i="1"/>
  <c r="B83" i="1"/>
  <c r="C83" i="1"/>
  <c r="D83" i="1"/>
  <c r="E83" i="1"/>
  <c r="F83" i="1"/>
  <c r="B84" i="1"/>
  <c r="C84" i="1"/>
  <c r="D84" i="1"/>
  <c r="E84" i="1"/>
  <c r="F84" i="1"/>
  <c r="B85" i="1"/>
  <c r="C85" i="1"/>
  <c r="D85" i="1"/>
  <c r="E85" i="1"/>
  <c r="F85" i="1"/>
  <c r="B86" i="1"/>
  <c r="C86" i="1"/>
  <c r="D86" i="1"/>
  <c r="E86" i="1"/>
  <c r="F86" i="1"/>
  <c r="B87" i="1"/>
  <c r="C87" i="1"/>
  <c r="D87" i="1"/>
  <c r="E87" i="1"/>
  <c r="F87" i="1"/>
  <c r="B88" i="1"/>
  <c r="C88" i="1"/>
  <c r="D88" i="1"/>
  <c r="E88" i="1"/>
  <c r="F88" i="1"/>
  <c r="B89" i="1"/>
  <c r="C89" i="1"/>
  <c r="D89" i="1"/>
  <c r="E89" i="1"/>
  <c r="F89" i="1"/>
  <c r="B90" i="1"/>
  <c r="C90" i="1"/>
  <c r="D90" i="1"/>
  <c r="E90" i="1"/>
  <c r="F90" i="1"/>
  <c r="B91" i="1"/>
  <c r="C91" i="1"/>
  <c r="D91" i="1"/>
  <c r="E91" i="1"/>
  <c r="F91" i="1"/>
  <c r="B92" i="1"/>
  <c r="C92" i="1"/>
  <c r="D92" i="1"/>
  <c r="E92" i="1"/>
  <c r="F92" i="1"/>
  <c r="B93" i="1"/>
  <c r="C93" i="1"/>
  <c r="D93" i="1"/>
  <c r="E93" i="1"/>
  <c r="F93" i="1"/>
  <c r="B94" i="1"/>
  <c r="C94" i="1"/>
  <c r="D94" i="1"/>
  <c r="E94" i="1"/>
  <c r="F94" i="1"/>
  <c r="B95" i="1"/>
  <c r="C95" i="1"/>
  <c r="D95" i="1"/>
  <c r="E95" i="1"/>
  <c r="F95" i="1"/>
  <c r="B96" i="1"/>
  <c r="C96" i="1"/>
  <c r="D96" i="1"/>
  <c r="E96" i="1"/>
  <c r="F96" i="1"/>
  <c r="B97" i="1"/>
  <c r="C97" i="1"/>
  <c r="D97" i="1"/>
  <c r="E97" i="1"/>
  <c r="F97" i="1"/>
  <c r="B98" i="1"/>
  <c r="C98" i="1"/>
  <c r="D98" i="1"/>
  <c r="E98" i="1"/>
  <c r="F98" i="1"/>
  <c r="B99" i="1"/>
  <c r="C99" i="1"/>
  <c r="D99" i="1"/>
  <c r="E99" i="1"/>
  <c r="F99" i="1"/>
  <c r="B100" i="1"/>
  <c r="C100" i="1"/>
  <c r="D100" i="1"/>
  <c r="E100" i="1"/>
  <c r="F100" i="1"/>
  <c r="B101" i="1"/>
  <c r="C101" i="1"/>
  <c r="D101" i="1"/>
  <c r="E101" i="1"/>
  <c r="F101" i="1"/>
  <c r="B102" i="1"/>
  <c r="C102" i="1"/>
  <c r="D102" i="1"/>
  <c r="E102" i="1"/>
  <c r="F102" i="1"/>
  <c r="B103" i="1"/>
  <c r="C103" i="1"/>
  <c r="D103" i="1"/>
  <c r="E103" i="1"/>
  <c r="F103" i="1"/>
  <c r="B104" i="1"/>
  <c r="C104" i="1"/>
  <c r="D104" i="1"/>
  <c r="E104" i="1"/>
  <c r="F104" i="1"/>
  <c r="B105" i="1"/>
  <c r="C105" i="1"/>
  <c r="D105" i="1"/>
  <c r="E105" i="1"/>
  <c r="F105" i="1"/>
  <c r="B106" i="1"/>
  <c r="C106" i="1"/>
  <c r="D106" i="1"/>
  <c r="E106" i="1"/>
  <c r="F106" i="1"/>
  <c r="B107" i="1"/>
  <c r="C107" i="1"/>
  <c r="D107" i="1"/>
  <c r="E107" i="1"/>
  <c r="F107" i="1"/>
  <c r="B108" i="1"/>
  <c r="C108" i="1"/>
  <c r="D108" i="1"/>
  <c r="E108" i="1"/>
  <c r="F108" i="1"/>
  <c r="B109" i="1"/>
  <c r="C109" i="1"/>
  <c r="D109" i="1"/>
  <c r="E109" i="1"/>
  <c r="F109" i="1"/>
  <c r="B110" i="1"/>
  <c r="C110" i="1"/>
  <c r="D110" i="1"/>
  <c r="E110" i="1"/>
  <c r="F110" i="1"/>
  <c r="F12" i="1"/>
  <c r="F13" i="1"/>
  <c r="F14" i="1"/>
  <c r="F15" i="1"/>
  <c r="F16" i="1"/>
  <c r="F11" i="1"/>
  <c r="E12" i="1"/>
  <c r="E13" i="1"/>
  <c r="E14" i="1"/>
  <c r="E15" i="1"/>
  <c r="E16" i="1"/>
  <c r="E11" i="1"/>
  <c r="D12" i="1"/>
  <c r="D13" i="1"/>
  <c r="D14" i="1"/>
  <c r="D15" i="1"/>
  <c r="D16" i="1"/>
  <c r="D11" i="1"/>
  <c r="C12" i="1"/>
  <c r="C13" i="1"/>
  <c r="C14" i="1"/>
  <c r="C15" i="1"/>
  <c r="C16" i="1"/>
  <c r="C11" i="1"/>
  <c r="B15" i="1"/>
  <c r="B16" i="1"/>
  <c r="B12" i="1"/>
  <c r="B13" i="1"/>
  <c r="B14" i="1"/>
  <c r="B11" i="1"/>
  <c r="G44" i="1" l="1" a="1"/>
  <c r="G44" i="1" s="1"/>
  <c r="G87" i="1" a="1"/>
  <c r="G87" i="1" s="1"/>
  <c r="G55" i="1" a="1"/>
  <c r="G55" i="1" s="1"/>
  <c r="G37" i="1" a="1"/>
  <c r="G37" i="1" s="1"/>
  <c r="G26" i="1" a="1"/>
  <c r="G26" i="1" s="1"/>
  <c r="G17" i="1" a="1"/>
  <c r="G17" i="1" s="1"/>
  <c r="G101" i="1" a="1"/>
  <c r="G101" i="1" s="1"/>
  <c r="G69" i="1" a="1"/>
  <c r="G69" i="1" s="1"/>
  <c r="G51" i="1" a="1"/>
  <c r="G51" i="1" s="1"/>
  <c r="G19" i="1" a="1"/>
  <c r="G19" i="1" s="1"/>
  <c r="G91" i="1" a="1"/>
  <c r="G91" i="1" s="1"/>
  <c r="G107" i="1" a="1"/>
  <c r="G107" i="1" s="1"/>
  <c r="G75" i="1" a="1"/>
  <c r="G75" i="1" s="1"/>
  <c r="G43" i="1" a="1"/>
  <c r="G43" i="1" s="1"/>
  <c r="G99" i="1" a="1"/>
  <c r="G99" i="1" s="1"/>
  <c r="G61" i="1" a="1"/>
  <c r="G61" i="1" s="1"/>
  <c r="G53" i="1" a="1"/>
  <c r="G53" i="1" s="1"/>
  <c r="G108" i="1" a="1"/>
  <c r="G108" i="1" s="1"/>
  <c r="G81" i="1" a="1"/>
  <c r="G81" i="1" s="1"/>
  <c r="G59" i="1" a="1"/>
  <c r="G59" i="1" s="1"/>
  <c r="G67" i="1" a="1"/>
  <c r="G67" i="1" s="1"/>
  <c r="G29" i="1" a="1"/>
  <c r="G29" i="1" s="1"/>
  <c r="G21" i="1" a="1"/>
  <c r="G21" i="1" s="1"/>
  <c r="G90" i="1" a="1"/>
  <c r="G90" i="1" s="1"/>
  <c r="G76" i="1" a="1"/>
  <c r="G76" i="1" s="1"/>
  <c r="G49" i="1" a="1"/>
  <c r="G49" i="1" s="1"/>
  <c r="G27" i="1" a="1"/>
  <c r="G27" i="1" s="1"/>
  <c r="G109" i="1" a="1"/>
  <c r="G109" i="1" s="1"/>
  <c r="G35" i="1" a="1"/>
  <c r="G35" i="1" s="1"/>
  <c r="G83" i="1" a="1"/>
  <c r="G83" i="1" s="1"/>
  <c r="G58" i="1" a="1"/>
  <c r="G58" i="1" s="1"/>
  <c r="G93" i="1" a="1"/>
  <c r="G93" i="1" s="1"/>
  <c r="G85" i="1" a="1"/>
  <c r="G85" i="1" s="1"/>
  <c r="G77" i="1" a="1"/>
  <c r="G77" i="1" s="1"/>
  <c r="G45" i="1" a="1"/>
  <c r="G45" i="1" s="1"/>
  <c r="G97" i="1" a="1"/>
  <c r="G97" i="1" s="1"/>
  <c r="G65" i="1" a="1"/>
  <c r="G65" i="1" s="1"/>
  <c r="G105" i="1" a="1"/>
  <c r="G105" i="1" s="1"/>
  <c r="G102" i="1" a="1"/>
  <c r="G102" i="1" s="1"/>
  <c r="G96" i="1" a="1"/>
  <c r="G96" i="1" s="1"/>
  <c r="G82" i="1" a="1"/>
  <c r="G82" i="1" s="1"/>
  <c r="G79" i="1" a="1"/>
  <c r="G79" i="1" s="1"/>
  <c r="G73" i="1" a="1"/>
  <c r="G73" i="1" s="1"/>
  <c r="G70" i="1" a="1"/>
  <c r="G70" i="1" s="1"/>
  <c r="G64" i="1" a="1"/>
  <c r="G64" i="1" s="1"/>
  <c r="G50" i="1" a="1"/>
  <c r="G50" i="1" s="1"/>
  <c r="G47" i="1" a="1"/>
  <c r="G47" i="1" s="1"/>
  <c r="G41" i="1" a="1"/>
  <c r="G41" i="1" s="1"/>
  <c r="G38" i="1" a="1"/>
  <c r="G38" i="1" s="1"/>
  <c r="G32" i="1" a="1"/>
  <c r="G32" i="1" s="1"/>
  <c r="G18" i="1" a="1"/>
  <c r="G18" i="1" s="1"/>
  <c r="G106" i="1" a="1"/>
  <c r="G106" i="1" s="1"/>
  <c r="G74" i="1" a="1"/>
  <c r="G74" i="1" s="1"/>
  <c r="G42" i="1" a="1"/>
  <c r="G42" i="1" s="1"/>
  <c r="G33" i="1" a="1"/>
  <c r="G33" i="1" s="1"/>
  <c r="G100" i="1" a="1"/>
  <c r="G100" i="1" s="1"/>
  <c r="G68" i="1" a="1"/>
  <c r="G68" i="1" s="1"/>
  <c r="G39" i="1" a="1"/>
  <c r="G39" i="1" s="1"/>
  <c r="G36" i="1" a="1"/>
  <c r="G36" i="1" s="1"/>
  <c r="G103" i="1" a="1"/>
  <c r="G103" i="1" s="1"/>
  <c r="G30" i="1" a="1"/>
  <c r="G30" i="1" s="1"/>
  <c r="G98" i="1" a="1"/>
  <c r="G98" i="1" s="1"/>
  <c r="G95" i="1" a="1"/>
  <c r="G95" i="1" s="1"/>
  <c r="G89" i="1" a="1"/>
  <c r="G89" i="1" s="1"/>
  <c r="G86" i="1" a="1"/>
  <c r="G86" i="1" s="1"/>
  <c r="G80" i="1" a="1"/>
  <c r="G80" i="1" s="1"/>
  <c r="G66" i="1" a="1"/>
  <c r="G66" i="1" s="1"/>
  <c r="G63" i="1" a="1"/>
  <c r="G63" i="1" s="1"/>
  <c r="G57" i="1" a="1"/>
  <c r="G57" i="1" s="1"/>
  <c r="G54" i="1" a="1"/>
  <c r="G54" i="1" s="1"/>
  <c r="G48" i="1" a="1"/>
  <c r="G48" i="1" s="1"/>
  <c r="G34" i="1" a="1"/>
  <c r="G34" i="1" s="1"/>
  <c r="G25" i="1" a="1"/>
  <c r="G25" i="1" s="1"/>
  <c r="G22" i="1" a="1"/>
  <c r="G22" i="1" s="1"/>
  <c r="G92" i="1" a="1"/>
  <c r="G92" i="1" s="1"/>
  <c r="G60" i="1" a="1"/>
  <c r="G60" i="1" s="1"/>
  <c r="G31" i="1" a="1"/>
  <c r="G31" i="1" s="1"/>
  <c r="G28" i="1" a="1"/>
  <c r="G28" i="1" s="1"/>
  <c r="G94" i="1" a="1"/>
  <c r="G94" i="1" s="1"/>
  <c r="G62" i="1" a="1"/>
  <c r="G62" i="1" s="1"/>
  <c r="G110" i="1" a="1"/>
  <c r="G110" i="1" s="1"/>
  <c r="G104" i="1" a="1"/>
  <c r="G104" i="1" s="1"/>
  <c r="G78" i="1" a="1"/>
  <c r="G78" i="1" s="1"/>
  <c r="G72" i="1" a="1"/>
  <c r="G72" i="1" s="1"/>
  <c r="G46" i="1" a="1"/>
  <c r="G46" i="1" s="1"/>
  <c r="G40" i="1" a="1"/>
  <c r="G40" i="1" s="1"/>
  <c r="G88" i="1" a="1"/>
  <c r="G88" i="1" s="1"/>
  <c r="G71" i="1" a="1"/>
  <c r="G71" i="1" s="1"/>
  <c r="G56" i="1" a="1"/>
  <c r="G56" i="1" s="1"/>
  <c r="G24" i="1" a="1"/>
  <c r="G24" i="1" s="1"/>
  <c r="G84" i="1" a="1"/>
  <c r="G84" i="1" s="1"/>
  <c r="G52" i="1" a="1"/>
  <c r="G52" i="1" s="1"/>
  <c r="G23" i="1" a="1"/>
  <c r="G23" i="1" s="1"/>
  <c r="G20" i="1" a="1"/>
  <c r="G20" i="1" s="1"/>
  <c r="G13" i="1" a="1"/>
  <c r="G13" i="1" s="1"/>
  <c r="G15" i="1" a="1"/>
  <c r="G15" i="1" s="1"/>
  <c r="G14" i="1" a="1"/>
  <c r="G14" i="1" s="1"/>
  <c r="G11" i="1" a="1"/>
  <c r="G11" i="1" s="1"/>
  <c r="G16" i="1" a="1"/>
  <c r="G16" i="1" s="1"/>
  <c r="G12" i="1" a="1"/>
  <c r="G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<sst xmlns="http://schemas.openxmlformats.org/spreadsheetml/2006/main" count="21" uniqueCount="14">
  <si>
    <t>Population Model</t>
  </si>
  <si>
    <t>Property1</t>
  </si>
  <si>
    <t>Property2</t>
  </si>
  <si>
    <t>Property3</t>
  </si>
  <si>
    <t>Property4</t>
  </si>
  <si>
    <t>Price</t>
  </si>
  <si>
    <t>Obs. No.</t>
  </si>
  <si>
    <t>Property5</t>
  </si>
  <si>
    <t>B1</t>
  </si>
  <si>
    <t>B2</t>
  </si>
  <si>
    <t>B3</t>
  </si>
  <si>
    <t>B4</t>
  </si>
  <si>
    <t>B5</t>
  </si>
  <si>
    <t>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</si>
</sst>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5229E-D568-4688-A6D0-486586CCF276}">
  <dimension ref="A1:G101"/>
  <sheetViews>
    <sheetView zoomScaleNormal="100" workbookViewId="0">
      <selection activeCell="D10" sqref="D10"/>
    </sheetView>
  </sheetViews>
  <sheetFormatPr baseColWidth="10" defaultColWidth="8.7265625" defaultRowHeight="14.5" x14ac:dyDescent="0.35"/>
  <sheetData>
    <row r="1" spans="1:7" x14ac:dyDescent="0.35">
      <c r="A1" t="s">
        <v>6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</row>
    <row r="2" spans="1:7" x14ac:dyDescent="0.35">
      <c r="A2">
        <v>1</v>
      </c>
      <c r="B2">
        <v>4</v>
      </c>
      <c r="C2">
        <v>1372.17</v>
      </c>
      <c r="D2">
        <v>38.729085047247786</v>
      </c>
      <c r="E2">
        <v>690</v>
      </c>
      <c r="F2">
        <v>1</v>
      </c>
      <c r="G2">
        <v>78333.918299055047</v>
      </c>
    </row>
    <row r="3" spans="1:7" x14ac:dyDescent="0.35">
      <c r="A3">
        <v>2</v>
      </c>
      <c r="B3">
        <v>8</v>
      </c>
      <c r="C3">
        <v>1003.43</v>
      </c>
      <c r="D3">
        <v>71.415406462416485</v>
      </c>
      <c r="E3">
        <v>1005</v>
      </c>
      <c r="F3">
        <v>1</v>
      </c>
      <c r="G3">
        <v>59643.191870751667</v>
      </c>
    </row>
    <row r="4" spans="1:7" x14ac:dyDescent="0.35">
      <c r="A4">
        <v>3</v>
      </c>
      <c r="B4">
        <v>5</v>
      </c>
      <c r="C4">
        <v>1879.92</v>
      </c>
      <c r="D4">
        <v>67.101420684728836</v>
      </c>
      <c r="E4">
        <v>538</v>
      </c>
      <c r="F4">
        <v>0</v>
      </c>
      <c r="G4">
        <v>103153.97158630543</v>
      </c>
    </row>
    <row r="5" spans="1:7" x14ac:dyDescent="0.35">
      <c r="A5">
        <v>4</v>
      </c>
      <c r="B5">
        <v>10</v>
      </c>
      <c r="C5">
        <v>1381.92</v>
      </c>
      <c r="D5">
        <v>46.052567161245335</v>
      </c>
      <c r="E5">
        <v>1042</v>
      </c>
      <c r="F5">
        <v>0</v>
      </c>
      <c r="G5">
        <v>79174.948656775086</v>
      </c>
    </row>
    <row r="6" spans="1:7" x14ac:dyDescent="0.35">
      <c r="A6">
        <v>5</v>
      </c>
      <c r="B6">
        <v>2</v>
      </c>
      <c r="C6">
        <v>1227.04</v>
      </c>
      <c r="D6">
        <v>-23.126589036703109</v>
      </c>
      <c r="E6">
        <v>811</v>
      </c>
      <c r="F6">
        <v>0</v>
      </c>
      <c r="G6">
        <v>72014.531780734062</v>
      </c>
    </row>
    <row r="7" spans="1:7" x14ac:dyDescent="0.35">
      <c r="A7">
        <v>6</v>
      </c>
      <c r="B7">
        <v>5</v>
      </c>
      <c r="C7">
        <v>1330.81</v>
      </c>
      <c r="D7">
        <v>86.584496650929083</v>
      </c>
      <c r="E7">
        <v>955</v>
      </c>
      <c r="F7">
        <v>1</v>
      </c>
      <c r="G7">
        <v>75408.810066981416</v>
      </c>
    </row>
    <row r="8" spans="1:7" x14ac:dyDescent="0.35">
      <c r="A8">
        <v>7</v>
      </c>
      <c r="B8">
        <v>3</v>
      </c>
      <c r="C8">
        <v>1584.12</v>
      </c>
      <c r="D8">
        <v>69.675600820907107</v>
      </c>
      <c r="E8">
        <v>771</v>
      </c>
      <c r="F8">
        <v>0</v>
      </c>
      <c r="G8">
        <v>88112.487983581857</v>
      </c>
    </row>
    <row r="9" spans="1:7" x14ac:dyDescent="0.35">
      <c r="A9">
        <v>8</v>
      </c>
      <c r="B9">
        <v>8</v>
      </c>
      <c r="C9">
        <v>1145.1400000000001</v>
      </c>
      <c r="D9">
        <v>90.758778039787785</v>
      </c>
      <c r="E9">
        <v>666</v>
      </c>
      <c r="F9">
        <v>1</v>
      </c>
      <c r="G9">
        <v>66341.824439204254</v>
      </c>
    </row>
    <row r="10" spans="1:7" x14ac:dyDescent="0.35">
      <c r="A10">
        <v>9</v>
      </c>
      <c r="B10">
        <v>2</v>
      </c>
      <c r="C10">
        <v>1220.45</v>
      </c>
      <c r="D10">
        <v>46.804621125842047</v>
      </c>
      <c r="E10">
        <v>977</v>
      </c>
      <c r="F10">
        <v>0</v>
      </c>
      <c r="G10">
        <v>70286.407577483158</v>
      </c>
    </row>
    <row r="11" spans="1:7" x14ac:dyDescent="0.35">
      <c r="A11">
        <v>10</v>
      </c>
      <c r="B11">
        <v>8</v>
      </c>
      <c r="C11">
        <v>1466.44</v>
      </c>
      <c r="D11">
        <v>40.404695899689756</v>
      </c>
      <c r="E11">
        <v>883</v>
      </c>
      <c r="F11">
        <v>0</v>
      </c>
      <c r="G11">
        <v>83313.9060820062</v>
      </c>
    </row>
    <row r="12" spans="1:7" x14ac:dyDescent="0.35">
      <c r="A12">
        <v>11</v>
      </c>
      <c r="B12">
        <v>7</v>
      </c>
      <c r="C12">
        <v>1115.1400000000001</v>
      </c>
      <c r="D12">
        <v>36.367168508834162</v>
      </c>
      <c r="E12">
        <v>953</v>
      </c>
      <c r="F12">
        <v>0</v>
      </c>
      <c r="G12">
        <v>65729.656629823323</v>
      </c>
    </row>
    <row r="13" spans="1:7" x14ac:dyDescent="0.35">
      <c r="A13">
        <v>12</v>
      </c>
      <c r="B13">
        <v>7</v>
      </c>
      <c r="C13">
        <v>1006.68</v>
      </c>
      <c r="D13">
        <v>17.033819150117694</v>
      </c>
      <c r="E13">
        <v>639</v>
      </c>
      <c r="F13">
        <v>1</v>
      </c>
      <c r="G13">
        <v>60793.323616997644</v>
      </c>
    </row>
    <row r="14" spans="1:7" x14ac:dyDescent="0.35">
      <c r="A14">
        <v>13</v>
      </c>
      <c r="B14">
        <v>6</v>
      </c>
      <c r="C14">
        <v>1732.18</v>
      </c>
      <c r="D14">
        <v>17.564551997465941</v>
      </c>
      <c r="E14">
        <v>648</v>
      </c>
      <c r="F14">
        <v>0</v>
      </c>
      <c r="G14">
        <v>96857.708960050688</v>
      </c>
    </row>
    <row r="15" spans="1:7" x14ac:dyDescent="0.35">
      <c r="A15">
        <v>14</v>
      </c>
      <c r="B15">
        <v>2</v>
      </c>
      <c r="C15">
        <v>1291.32</v>
      </c>
      <c r="D15">
        <v>57.156282133889079</v>
      </c>
      <c r="E15">
        <v>1024</v>
      </c>
      <c r="F15">
        <v>0</v>
      </c>
      <c r="G15">
        <v>73622.874357322216</v>
      </c>
    </row>
    <row r="16" spans="1:7" x14ac:dyDescent="0.35">
      <c r="A16">
        <v>15</v>
      </c>
      <c r="B16">
        <v>5</v>
      </c>
      <c r="C16">
        <v>1772.73</v>
      </c>
      <c r="D16">
        <v>44.084846651388787</v>
      </c>
      <c r="E16">
        <v>709</v>
      </c>
      <c r="F16">
        <v>0</v>
      </c>
      <c r="G16">
        <v>98254.803066972221</v>
      </c>
    </row>
    <row r="17" spans="1:7" x14ac:dyDescent="0.35">
      <c r="A17">
        <v>16</v>
      </c>
      <c r="B17">
        <v>8</v>
      </c>
      <c r="C17">
        <v>1545.46</v>
      </c>
      <c r="D17">
        <v>31.38131212832991</v>
      </c>
      <c r="E17">
        <v>780</v>
      </c>
      <c r="F17">
        <v>0</v>
      </c>
      <c r="G17">
        <v>87445.373757433408</v>
      </c>
    </row>
    <row r="18" spans="1:7" x14ac:dyDescent="0.35">
      <c r="A18">
        <v>17</v>
      </c>
      <c r="B18">
        <v>7</v>
      </c>
      <c r="C18">
        <v>1349.73</v>
      </c>
      <c r="D18">
        <v>60.321320472915616</v>
      </c>
      <c r="E18">
        <v>790</v>
      </c>
      <c r="F18">
        <v>0</v>
      </c>
      <c r="G18">
        <v>76980.073590541695</v>
      </c>
    </row>
    <row r="19" spans="1:7" x14ac:dyDescent="0.35">
      <c r="A19">
        <v>18</v>
      </c>
      <c r="B19">
        <v>4</v>
      </c>
      <c r="C19">
        <v>1483.34</v>
      </c>
      <c r="D19">
        <v>67.139460951221679</v>
      </c>
      <c r="E19">
        <v>674</v>
      </c>
      <c r="F19">
        <v>0</v>
      </c>
      <c r="G19">
        <v>83224.210780975569</v>
      </c>
    </row>
    <row r="20" spans="1:7" x14ac:dyDescent="0.35">
      <c r="A20">
        <v>19</v>
      </c>
      <c r="B20">
        <v>9</v>
      </c>
      <c r="C20">
        <v>1834.51</v>
      </c>
      <c r="D20">
        <v>82.107073180569657</v>
      </c>
      <c r="E20">
        <v>550</v>
      </c>
      <c r="F20">
        <v>0</v>
      </c>
      <c r="G20">
        <v>100983.35853638861</v>
      </c>
    </row>
    <row r="21" spans="1:7" x14ac:dyDescent="0.35">
      <c r="A21">
        <v>20</v>
      </c>
      <c r="B21">
        <v>8</v>
      </c>
      <c r="C21">
        <v>1014.8</v>
      </c>
      <c r="D21">
        <v>28.326579189854574</v>
      </c>
      <c r="E21">
        <v>529</v>
      </c>
      <c r="F21">
        <v>0</v>
      </c>
      <c r="G21">
        <v>60973.468416202908</v>
      </c>
    </row>
    <row r="22" spans="1:7" x14ac:dyDescent="0.35">
      <c r="A22">
        <v>21</v>
      </c>
      <c r="B22">
        <v>7</v>
      </c>
      <c r="C22">
        <v>1455.81</v>
      </c>
      <c r="D22">
        <v>33.749347856277701</v>
      </c>
      <c r="E22">
        <v>881</v>
      </c>
      <c r="F22">
        <v>1</v>
      </c>
      <c r="G22">
        <v>82915.513042874445</v>
      </c>
    </row>
    <row r="23" spans="1:7" x14ac:dyDescent="0.35">
      <c r="A23">
        <v>22</v>
      </c>
      <c r="B23">
        <v>2</v>
      </c>
      <c r="C23">
        <v>1312.86</v>
      </c>
      <c r="D23">
        <v>45.360929869070389</v>
      </c>
      <c r="E23">
        <v>651</v>
      </c>
      <c r="F23">
        <v>0</v>
      </c>
      <c r="G23">
        <v>74935.781402618595</v>
      </c>
    </row>
    <row r="24" spans="1:7" x14ac:dyDescent="0.35">
      <c r="A24">
        <v>23</v>
      </c>
      <c r="B24">
        <v>2</v>
      </c>
      <c r="C24">
        <v>1744.89</v>
      </c>
      <c r="D24">
        <v>21.49110782956431</v>
      </c>
      <c r="E24">
        <v>634</v>
      </c>
      <c r="F24">
        <v>0</v>
      </c>
      <c r="G24">
        <v>97014.677843408717</v>
      </c>
    </row>
    <row r="25" spans="1:7" x14ac:dyDescent="0.35">
      <c r="A25">
        <v>24</v>
      </c>
      <c r="B25">
        <v>5</v>
      </c>
      <c r="C25">
        <v>1602.09</v>
      </c>
      <c r="D25">
        <v>60.686652285023435</v>
      </c>
      <c r="E25">
        <v>1066</v>
      </c>
      <c r="F25">
        <v>0</v>
      </c>
      <c r="G25">
        <v>89390.766954299528</v>
      </c>
    </row>
    <row r="26" spans="1:7" x14ac:dyDescent="0.35">
      <c r="A26">
        <v>25</v>
      </c>
      <c r="B26">
        <v>10</v>
      </c>
      <c r="C26">
        <v>1443.3</v>
      </c>
      <c r="D26">
        <v>54.086597212577345</v>
      </c>
      <c r="E26">
        <v>654</v>
      </c>
      <c r="F26">
        <v>1</v>
      </c>
      <c r="G26">
        <v>82183.268055748456</v>
      </c>
    </row>
    <row r="27" spans="1:7" x14ac:dyDescent="0.35">
      <c r="A27">
        <v>26</v>
      </c>
      <c r="B27">
        <v>7</v>
      </c>
      <c r="C27">
        <v>1984.5</v>
      </c>
      <c r="D27">
        <v>52.289497268885448</v>
      </c>
      <c r="E27">
        <v>631</v>
      </c>
      <c r="F27">
        <v>0</v>
      </c>
      <c r="G27">
        <v>108879.21005462229</v>
      </c>
    </row>
    <row r="28" spans="1:7" x14ac:dyDescent="0.35">
      <c r="A28">
        <v>27</v>
      </c>
      <c r="B28">
        <v>7</v>
      </c>
      <c r="C28">
        <v>1115.8699999999999</v>
      </c>
      <c r="D28">
        <v>79.267379061335674</v>
      </c>
      <c r="E28">
        <v>603</v>
      </c>
      <c r="F28">
        <v>0</v>
      </c>
      <c r="G28">
        <v>64908.152418773279</v>
      </c>
    </row>
    <row r="29" spans="1:7" x14ac:dyDescent="0.35">
      <c r="A29">
        <v>28</v>
      </c>
      <c r="B29">
        <v>5</v>
      </c>
      <c r="C29">
        <v>1990.93</v>
      </c>
      <c r="D29">
        <v>74.232346389410608</v>
      </c>
      <c r="E29">
        <v>761</v>
      </c>
      <c r="F29">
        <v>1</v>
      </c>
      <c r="G29">
        <v>108661.85307221179</v>
      </c>
    </row>
    <row r="30" spans="1:7" x14ac:dyDescent="0.35">
      <c r="A30">
        <v>29</v>
      </c>
      <c r="B30">
        <v>3</v>
      </c>
      <c r="C30">
        <v>1823.72</v>
      </c>
      <c r="D30">
        <v>60.216003655112488</v>
      </c>
      <c r="E30">
        <v>822</v>
      </c>
      <c r="F30">
        <v>1</v>
      </c>
      <c r="G30">
        <v>100381.67992689775</v>
      </c>
    </row>
    <row r="31" spans="1:7" x14ac:dyDescent="0.35">
      <c r="A31">
        <v>30</v>
      </c>
      <c r="B31">
        <v>2</v>
      </c>
      <c r="C31">
        <v>1657.74</v>
      </c>
      <c r="D31">
        <v>76.54423028219172</v>
      </c>
      <c r="E31">
        <v>867</v>
      </c>
      <c r="F31">
        <v>1</v>
      </c>
      <c r="G31">
        <v>91656.115394356166</v>
      </c>
    </row>
    <row r="32" spans="1:7" x14ac:dyDescent="0.35">
      <c r="A32">
        <v>31</v>
      </c>
      <c r="B32">
        <v>10</v>
      </c>
      <c r="C32">
        <v>1019.72</v>
      </c>
      <c r="D32">
        <v>64.238376310958486</v>
      </c>
      <c r="E32">
        <v>968</v>
      </c>
      <c r="F32">
        <v>1</v>
      </c>
      <c r="G32">
        <v>60801.23247378083</v>
      </c>
    </row>
    <row r="33" spans="1:7" x14ac:dyDescent="0.35">
      <c r="A33">
        <v>32</v>
      </c>
      <c r="B33">
        <v>5</v>
      </c>
      <c r="C33">
        <v>1977.54</v>
      </c>
      <c r="D33">
        <v>29.538743866875933</v>
      </c>
      <c r="E33">
        <v>848</v>
      </c>
      <c r="F33">
        <v>0</v>
      </c>
      <c r="G33">
        <v>108786.22512266248</v>
      </c>
    </row>
    <row r="34" spans="1:7" x14ac:dyDescent="0.35">
      <c r="A34">
        <v>33</v>
      </c>
      <c r="B34">
        <v>10</v>
      </c>
      <c r="C34">
        <v>1128.03</v>
      </c>
      <c r="D34">
        <v>80.7969829745455</v>
      </c>
      <c r="E34">
        <v>800</v>
      </c>
      <c r="F34">
        <v>0</v>
      </c>
      <c r="G34">
        <v>65785.560340509081</v>
      </c>
    </row>
    <row r="35" spans="1:7" x14ac:dyDescent="0.35">
      <c r="A35">
        <v>34</v>
      </c>
      <c r="B35">
        <v>10</v>
      </c>
      <c r="C35">
        <v>1291.98</v>
      </c>
      <c r="D35">
        <v>59.687414855540908</v>
      </c>
      <c r="E35">
        <v>708</v>
      </c>
      <c r="F35">
        <v>1</v>
      </c>
      <c r="G35">
        <v>74505.251702889189</v>
      </c>
    </row>
    <row r="36" spans="1:7" x14ac:dyDescent="0.35">
      <c r="A36">
        <v>35</v>
      </c>
      <c r="B36">
        <v>10</v>
      </c>
      <c r="C36">
        <v>1275.22</v>
      </c>
      <c r="D36">
        <v>34.780843490856419</v>
      </c>
      <c r="E36">
        <v>817</v>
      </c>
      <c r="F36">
        <v>1</v>
      </c>
      <c r="G36">
        <v>74165.383130182861</v>
      </c>
    </row>
    <row r="37" spans="1:7" x14ac:dyDescent="0.35">
      <c r="A37">
        <v>36</v>
      </c>
      <c r="B37">
        <v>5</v>
      </c>
      <c r="C37">
        <v>1963.65</v>
      </c>
      <c r="D37">
        <v>75.451450865245349</v>
      </c>
      <c r="E37">
        <v>1038</v>
      </c>
      <c r="F37">
        <v>0</v>
      </c>
      <c r="G37">
        <v>107173.47098269509</v>
      </c>
    </row>
    <row r="38" spans="1:7" x14ac:dyDescent="0.35">
      <c r="A38">
        <v>37</v>
      </c>
      <c r="B38">
        <v>4</v>
      </c>
      <c r="C38">
        <v>1545.81</v>
      </c>
      <c r="D38">
        <v>-0.159890520848748</v>
      </c>
      <c r="E38">
        <v>686</v>
      </c>
      <c r="F38">
        <v>1</v>
      </c>
      <c r="G38">
        <v>87793.697810416968</v>
      </c>
    </row>
    <row r="39" spans="1:7" x14ac:dyDescent="0.35">
      <c r="A39">
        <v>38</v>
      </c>
      <c r="B39">
        <v>3</v>
      </c>
      <c r="C39">
        <v>1964.97</v>
      </c>
      <c r="D39">
        <v>30.130215555973091</v>
      </c>
      <c r="E39">
        <v>882</v>
      </c>
      <c r="F39">
        <v>1</v>
      </c>
      <c r="G39">
        <v>108045.89568888054</v>
      </c>
    </row>
    <row r="40" spans="1:7" x14ac:dyDescent="0.35">
      <c r="A40">
        <v>39</v>
      </c>
      <c r="B40">
        <v>4</v>
      </c>
      <c r="C40">
        <v>1378.73</v>
      </c>
      <c r="D40">
        <v>45.415363154363796</v>
      </c>
      <c r="E40">
        <v>558</v>
      </c>
      <c r="F40">
        <v>0</v>
      </c>
      <c r="G40">
        <v>78428.192736912722</v>
      </c>
    </row>
    <row r="41" spans="1:7" x14ac:dyDescent="0.35">
      <c r="A41">
        <v>40</v>
      </c>
      <c r="B41">
        <v>5</v>
      </c>
      <c r="C41">
        <v>1152.58</v>
      </c>
      <c r="D41">
        <v>61.622598021442577</v>
      </c>
      <c r="E41">
        <v>717</v>
      </c>
      <c r="F41">
        <v>1</v>
      </c>
      <c r="G41">
        <v>66996.548039571149</v>
      </c>
    </row>
    <row r="42" spans="1:7" x14ac:dyDescent="0.35">
      <c r="A42">
        <v>41</v>
      </c>
      <c r="B42">
        <v>6</v>
      </c>
      <c r="C42">
        <v>1944.65</v>
      </c>
      <c r="D42">
        <v>78.881111101871014</v>
      </c>
      <c r="E42">
        <v>903</v>
      </c>
      <c r="F42">
        <v>0</v>
      </c>
      <c r="G42">
        <v>106254.87777796258</v>
      </c>
    </row>
    <row r="43" spans="1:7" x14ac:dyDescent="0.35">
      <c r="A43">
        <v>42</v>
      </c>
      <c r="B43">
        <v>10</v>
      </c>
      <c r="C43">
        <v>1012.09</v>
      </c>
      <c r="D43">
        <v>44.332000911631688</v>
      </c>
      <c r="E43">
        <v>700</v>
      </c>
      <c r="F43">
        <v>0</v>
      </c>
      <c r="G43">
        <v>60717.859981767368</v>
      </c>
    </row>
    <row r="44" spans="1:7" x14ac:dyDescent="0.35">
      <c r="A44">
        <v>43</v>
      </c>
      <c r="B44">
        <v>7</v>
      </c>
      <c r="C44">
        <v>1892.72</v>
      </c>
      <c r="D44">
        <v>44.444945003352416</v>
      </c>
      <c r="E44">
        <v>533</v>
      </c>
      <c r="F44">
        <v>1</v>
      </c>
      <c r="G44">
        <v>104547.10109993294</v>
      </c>
    </row>
    <row r="45" spans="1:7" x14ac:dyDescent="0.35">
      <c r="A45">
        <v>44</v>
      </c>
      <c r="B45">
        <v>9</v>
      </c>
      <c r="C45">
        <v>1659.74</v>
      </c>
      <c r="D45">
        <v>77.84386647827219</v>
      </c>
      <c r="E45">
        <v>937</v>
      </c>
      <c r="F45">
        <v>0</v>
      </c>
      <c r="G45">
        <v>92330.122670434561</v>
      </c>
    </row>
    <row r="46" spans="1:7" x14ac:dyDescent="0.35">
      <c r="A46">
        <v>45</v>
      </c>
      <c r="B46">
        <v>7</v>
      </c>
      <c r="C46">
        <v>1757.62</v>
      </c>
      <c r="D46">
        <v>48.869791667036516</v>
      </c>
      <c r="E46">
        <v>950</v>
      </c>
      <c r="F46">
        <v>1</v>
      </c>
      <c r="G46">
        <v>97703.604166659265</v>
      </c>
    </row>
    <row r="47" spans="1:7" x14ac:dyDescent="0.35">
      <c r="A47">
        <v>46</v>
      </c>
      <c r="B47">
        <v>6</v>
      </c>
      <c r="C47">
        <v>1792.38</v>
      </c>
      <c r="D47">
        <v>41.122180196839274</v>
      </c>
      <c r="E47">
        <v>1011</v>
      </c>
      <c r="F47">
        <v>0</v>
      </c>
      <c r="G47">
        <v>99396.556396063213</v>
      </c>
    </row>
    <row r="48" spans="1:7" x14ac:dyDescent="0.35">
      <c r="A48">
        <v>47</v>
      </c>
      <c r="B48">
        <v>2</v>
      </c>
      <c r="C48">
        <v>1990.6</v>
      </c>
      <c r="D48">
        <v>60.411970123397332</v>
      </c>
      <c r="E48">
        <v>963</v>
      </c>
      <c r="F48">
        <v>1</v>
      </c>
      <c r="G48">
        <v>108621.76059753205</v>
      </c>
    </row>
    <row r="49" spans="1:7" x14ac:dyDescent="0.35">
      <c r="A49">
        <v>48</v>
      </c>
      <c r="B49">
        <v>3</v>
      </c>
      <c r="C49">
        <v>1635.72</v>
      </c>
      <c r="D49">
        <v>37.585741296327463</v>
      </c>
      <c r="E49">
        <v>1045</v>
      </c>
      <c r="F49">
        <v>0</v>
      </c>
      <c r="G49">
        <v>91334.285174073448</v>
      </c>
    </row>
    <row r="50" spans="1:7" x14ac:dyDescent="0.35">
      <c r="A50">
        <v>49</v>
      </c>
      <c r="B50">
        <v>2</v>
      </c>
      <c r="C50">
        <v>1143.31</v>
      </c>
      <c r="D50">
        <v>93.795883042959758</v>
      </c>
      <c r="E50">
        <v>836</v>
      </c>
      <c r="F50">
        <v>0</v>
      </c>
      <c r="G50">
        <v>65489.582339140805</v>
      </c>
    </row>
    <row r="51" spans="1:7" x14ac:dyDescent="0.35">
      <c r="A51">
        <v>50</v>
      </c>
      <c r="B51">
        <v>7</v>
      </c>
      <c r="C51">
        <v>1794.5</v>
      </c>
      <c r="D51">
        <v>61.388923614631587</v>
      </c>
      <c r="E51">
        <v>877</v>
      </c>
      <c r="F51">
        <v>0</v>
      </c>
      <c r="G51">
        <v>99197.22152770737</v>
      </c>
    </row>
    <row r="52" spans="1:7" x14ac:dyDescent="0.35">
      <c r="A52">
        <v>51</v>
      </c>
      <c r="B52">
        <v>10</v>
      </c>
      <c r="C52">
        <v>1671.54</v>
      </c>
      <c r="D52">
        <v>64.19894373401894</v>
      </c>
      <c r="E52">
        <v>994</v>
      </c>
      <c r="F52">
        <v>0</v>
      </c>
      <c r="G52">
        <v>93293.021125319618</v>
      </c>
    </row>
    <row r="53" spans="1:7" x14ac:dyDescent="0.35">
      <c r="A53">
        <v>52</v>
      </c>
      <c r="B53">
        <v>7</v>
      </c>
      <c r="C53">
        <v>1588.64</v>
      </c>
      <c r="D53">
        <v>58.244848065519861</v>
      </c>
      <c r="E53">
        <v>585</v>
      </c>
      <c r="F53">
        <v>0</v>
      </c>
      <c r="G53">
        <v>88967.103038689602</v>
      </c>
    </row>
    <row r="54" spans="1:7" x14ac:dyDescent="0.35">
      <c r="A54">
        <v>53</v>
      </c>
      <c r="B54">
        <v>6</v>
      </c>
      <c r="C54">
        <v>1382.62</v>
      </c>
      <c r="D54">
        <v>90.700834345393119</v>
      </c>
      <c r="E54">
        <v>813</v>
      </c>
      <c r="F54">
        <v>1</v>
      </c>
      <c r="G54">
        <v>78016.983313092132</v>
      </c>
    </row>
    <row r="55" spans="1:7" x14ac:dyDescent="0.35">
      <c r="A55">
        <v>54</v>
      </c>
      <c r="B55">
        <v>8</v>
      </c>
      <c r="C55">
        <v>1359.35</v>
      </c>
      <c r="D55">
        <v>13.045359274408682</v>
      </c>
      <c r="E55">
        <v>629</v>
      </c>
      <c r="F55">
        <v>1</v>
      </c>
      <c r="G55">
        <v>78606.592814511823</v>
      </c>
    </row>
    <row r="56" spans="1:7" x14ac:dyDescent="0.35">
      <c r="A56">
        <v>55</v>
      </c>
      <c r="B56">
        <v>8</v>
      </c>
      <c r="C56">
        <v>1145.33</v>
      </c>
      <c r="D56">
        <v>69.984032693820225</v>
      </c>
      <c r="E56">
        <v>772</v>
      </c>
      <c r="F56">
        <v>1</v>
      </c>
      <c r="G56">
        <v>66766.819346123593</v>
      </c>
    </row>
    <row r="57" spans="1:7" x14ac:dyDescent="0.35">
      <c r="A57">
        <v>56</v>
      </c>
      <c r="B57">
        <v>10</v>
      </c>
      <c r="C57">
        <v>1593.48</v>
      </c>
      <c r="D57">
        <v>21.062834105486978</v>
      </c>
      <c r="E57">
        <v>734</v>
      </c>
      <c r="F57">
        <v>0</v>
      </c>
      <c r="G57">
        <v>90252.743317890257</v>
      </c>
    </row>
    <row r="58" spans="1:7" x14ac:dyDescent="0.35">
      <c r="A58">
        <v>57</v>
      </c>
      <c r="B58">
        <v>9</v>
      </c>
      <c r="C58">
        <v>1043.1500000000001</v>
      </c>
      <c r="D58">
        <v>67.890442319442442</v>
      </c>
      <c r="E58">
        <v>848</v>
      </c>
      <c r="F58">
        <v>1</v>
      </c>
      <c r="G58">
        <v>61799.691153611158</v>
      </c>
    </row>
    <row r="59" spans="1:7" x14ac:dyDescent="0.35">
      <c r="A59">
        <v>58</v>
      </c>
      <c r="B59">
        <v>2</v>
      </c>
      <c r="C59">
        <v>1298.57</v>
      </c>
      <c r="D59">
        <v>66.386767603501511</v>
      </c>
      <c r="E59">
        <v>614</v>
      </c>
      <c r="F59">
        <v>1</v>
      </c>
      <c r="G59">
        <v>73900.764647929973</v>
      </c>
    </row>
    <row r="60" spans="1:7" x14ac:dyDescent="0.35">
      <c r="A60">
        <v>59</v>
      </c>
      <c r="B60">
        <v>8</v>
      </c>
      <c r="C60">
        <v>1413.17</v>
      </c>
      <c r="D60">
        <v>61.769863504696005</v>
      </c>
      <c r="E60">
        <v>939</v>
      </c>
      <c r="F60">
        <v>0</v>
      </c>
      <c r="G60">
        <v>80223.102729906081</v>
      </c>
    </row>
    <row r="61" spans="1:7" x14ac:dyDescent="0.35">
      <c r="A61">
        <v>60</v>
      </c>
      <c r="B61">
        <v>3</v>
      </c>
      <c r="C61">
        <v>1304.1400000000001</v>
      </c>
      <c r="D61">
        <v>42.073793353385099</v>
      </c>
      <c r="E61">
        <v>1044</v>
      </c>
      <c r="F61">
        <v>1</v>
      </c>
      <c r="G61">
        <v>74765.524132932303</v>
      </c>
    </row>
    <row r="62" spans="1:7" x14ac:dyDescent="0.35">
      <c r="A62">
        <v>61</v>
      </c>
      <c r="B62">
        <v>9</v>
      </c>
      <c r="C62">
        <v>1765.76</v>
      </c>
      <c r="D62">
        <v>34.991125468278319</v>
      </c>
      <c r="E62">
        <v>998</v>
      </c>
      <c r="F62">
        <v>1</v>
      </c>
      <c r="G62">
        <v>98588.177490634436</v>
      </c>
    </row>
    <row r="63" spans="1:7" x14ac:dyDescent="0.35">
      <c r="A63">
        <v>62</v>
      </c>
      <c r="B63">
        <v>10</v>
      </c>
      <c r="C63">
        <v>1334.13</v>
      </c>
      <c r="D63">
        <v>49.279268619273964</v>
      </c>
      <c r="E63">
        <v>829</v>
      </c>
      <c r="F63">
        <v>1</v>
      </c>
      <c r="G63">
        <v>76820.914627614518</v>
      </c>
    </row>
    <row r="64" spans="1:7" x14ac:dyDescent="0.35">
      <c r="A64">
        <v>63</v>
      </c>
      <c r="B64">
        <v>4</v>
      </c>
      <c r="C64">
        <v>1152.83</v>
      </c>
      <c r="D64">
        <v>60.194186758387943</v>
      </c>
      <c r="E64">
        <v>1033</v>
      </c>
      <c r="F64">
        <v>1</v>
      </c>
      <c r="G64">
        <v>66937.616264832235</v>
      </c>
    </row>
    <row r="65" spans="1:7" x14ac:dyDescent="0.35">
      <c r="A65">
        <v>64</v>
      </c>
      <c r="B65">
        <v>6</v>
      </c>
      <c r="C65">
        <v>1618.8</v>
      </c>
      <c r="D65">
        <v>66.601462962560305</v>
      </c>
      <c r="E65">
        <v>678</v>
      </c>
      <c r="F65">
        <v>1</v>
      </c>
      <c r="G65">
        <v>90307.970740748788</v>
      </c>
    </row>
    <row r="66" spans="1:7" x14ac:dyDescent="0.35">
      <c r="A66">
        <v>65</v>
      </c>
      <c r="B66">
        <v>3</v>
      </c>
      <c r="C66">
        <v>1978.31</v>
      </c>
      <c r="D66">
        <v>85.966915037757303</v>
      </c>
      <c r="E66">
        <v>989</v>
      </c>
      <c r="F66">
        <v>1</v>
      </c>
      <c r="G66">
        <v>107596.16169924485</v>
      </c>
    </row>
    <row r="67" spans="1:7" x14ac:dyDescent="0.35">
      <c r="A67">
        <v>66</v>
      </c>
      <c r="B67">
        <v>4</v>
      </c>
      <c r="C67">
        <v>1208.6500000000001</v>
      </c>
      <c r="D67">
        <v>56.021204249672166</v>
      </c>
      <c r="E67">
        <v>783</v>
      </c>
      <c r="F67">
        <v>0</v>
      </c>
      <c r="G67">
        <v>69712.075915006571</v>
      </c>
    </row>
    <row r="68" spans="1:7" x14ac:dyDescent="0.35">
      <c r="A68">
        <v>67</v>
      </c>
      <c r="B68">
        <v>2</v>
      </c>
      <c r="C68">
        <v>1895.58</v>
      </c>
      <c r="D68">
        <v>46.260926050437796</v>
      </c>
      <c r="E68">
        <v>745</v>
      </c>
      <c r="F68">
        <v>1</v>
      </c>
      <c r="G68">
        <v>104153.78147899124</v>
      </c>
    </row>
    <row r="69" spans="1:7" x14ac:dyDescent="0.35">
      <c r="A69">
        <v>68</v>
      </c>
      <c r="B69">
        <v>4</v>
      </c>
      <c r="C69">
        <v>1405.51</v>
      </c>
      <c r="D69">
        <v>38.036927858038553</v>
      </c>
      <c r="E69">
        <v>1049</v>
      </c>
      <c r="F69">
        <v>0</v>
      </c>
      <c r="G69">
        <v>79914.761442839226</v>
      </c>
    </row>
    <row r="70" spans="1:7" x14ac:dyDescent="0.35">
      <c r="A70">
        <v>69</v>
      </c>
      <c r="B70">
        <v>2</v>
      </c>
      <c r="C70">
        <v>1627.13</v>
      </c>
      <c r="D70">
        <v>24.365388404509076</v>
      </c>
      <c r="E70">
        <v>670</v>
      </c>
      <c r="F70">
        <v>1</v>
      </c>
      <c r="G70">
        <v>91169.192231909823</v>
      </c>
    </row>
    <row r="71" spans="1:7" x14ac:dyDescent="0.35">
      <c r="A71">
        <v>70</v>
      </c>
      <c r="B71">
        <v>7</v>
      </c>
      <c r="C71">
        <v>1973.83</v>
      </c>
      <c r="D71">
        <v>85.685340439863594</v>
      </c>
      <c r="E71">
        <v>690</v>
      </c>
      <c r="F71">
        <v>1</v>
      </c>
      <c r="G71">
        <v>107777.79319120273</v>
      </c>
    </row>
    <row r="72" spans="1:7" x14ac:dyDescent="0.35">
      <c r="A72">
        <v>71</v>
      </c>
      <c r="B72">
        <v>3</v>
      </c>
      <c r="C72">
        <v>1135.05</v>
      </c>
      <c r="D72">
        <v>37.698922658649607</v>
      </c>
      <c r="E72">
        <v>1012</v>
      </c>
      <c r="F72">
        <v>0</v>
      </c>
      <c r="G72">
        <v>66298.521546827018</v>
      </c>
    </row>
    <row r="73" spans="1:7" x14ac:dyDescent="0.35">
      <c r="A73">
        <v>72</v>
      </c>
      <c r="B73">
        <v>6</v>
      </c>
      <c r="C73">
        <v>1785.66</v>
      </c>
      <c r="D73">
        <v>68.26754982811832</v>
      </c>
      <c r="E73">
        <v>583</v>
      </c>
      <c r="F73">
        <v>0</v>
      </c>
      <c r="G73">
        <v>98517.649003437633</v>
      </c>
    </row>
    <row r="74" spans="1:7" x14ac:dyDescent="0.35">
      <c r="A74">
        <v>73</v>
      </c>
      <c r="B74">
        <v>6</v>
      </c>
      <c r="C74">
        <v>1100.3399999999999</v>
      </c>
      <c r="D74">
        <v>39.469361793926495</v>
      </c>
      <c r="E74">
        <v>862</v>
      </c>
      <c r="F74">
        <v>0</v>
      </c>
      <c r="G74">
        <v>64827.612764121463</v>
      </c>
    </row>
    <row r="75" spans="1:7" x14ac:dyDescent="0.35">
      <c r="A75">
        <v>74</v>
      </c>
      <c r="B75">
        <v>4</v>
      </c>
      <c r="C75">
        <v>1738.09</v>
      </c>
      <c r="D75">
        <v>30.583857282427054</v>
      </c>
      <c r="E75">
        <v>591</v>
      </c>
      <c r="F75">
        <v>1</v>
      </c>
      <c r="G75">
        <v>96792.822854351456</v>
      </c>
    </row>
    <row r="76" spans="1:7" x14ac:dyDescent="0.35">
      <c r="A76">
        <v>75</v>
      </c>
      <c r="B76">
        <v>8</v>
      </c>
      <c r="C76">
        <v>1430.72</v>
      </c>
      <c r="D76">
        <v>71.812280985115692</v>
      </c>
      <c r="E76">
        <v>703</v>
      </c>
      <c r="F76">
        <v>1</v>
      </c>
      <c r="G76">
        <v>80999.754380297687</v>
      </c>
    </row>
    <row r="77" spans="1:7" x14ac:dyDescent="0.35">
      <c r="A77">
        <v>76</v>
      </c>
      <c r="B77">
        <v>5</v>
      </c>
      <c r="C77">
        <v>1848.15</v>
      </c>
      <c r="D77">
        <v>83.685603656516619</v>
      </c>
      <c r="E77">
        <v>952</v>
      </c>
      <c r="F77">
        <v>0</v>
      </c>
      <c r="G77">
        <v>101233.78792686967</v>
      </c>
    </row>
    <row r="78" spans="1:7" x14ac:dyDescent="0.35">
      <c r="A78">
        <v>77</v>
      </c>
      <c r="B78">
        <v>6</v>
      </c>
      <c r="C78">
        <v>1110.9100000000001</v>
      </c>
      <c r="D78">
        <v>48.481582101091178</v>
      </c>
      <c r="E78">
        <v>834</v>
      </c>
      <c r="F78">
        <v>0</v>
      </c>
      <c r="G78">
        <v>65175.868357978186</v>
      </c>
    </row>
    <row r="79" spans="1:7" x14ac:dyDescent="0.35">
      <c r="A79">
        <v>78</v>
      </c>
      <c r="B79">
        <v>2</v>
      </c>
      <c r="C79">
        <v>1334.63</v>
      </c>
      <c r="D79">
        <v>32.595493065607073</v>
      </c>
      <c r="E79">
        <v>807</v>
      </c>
      <c r="F79">
        <v>1</v>
      </c>
      <c r="G79">
        <v>76379.590138687854</v>
      </c>
    </row>
    <row r="80" spans="1:7" x14ac:dyDescent="0.35">
      <c r="A80">
        <v>79</v>
      </c>
      <c r="B80">
        <v>9</v>
      </c>
      <c r="C80">
        <v>1687.78</v>
      </c>
      <c r="D80">
        <v>61.947695549786523</v>
      </c>
      <c r="E80">
        <v>805</v>
      </c>
      <c r="F80">
        <v>0</v>
      </c>
      <c r="G80">
        <v>94050.046089004274</v>
      </c>
    </row>
    <row r="81" spans="1:7" x14ac:dyDescent="0.35">
      <c r="A81">
        <v>80</v>
      </c>
      <c r="B81">
        <v>9</v>
      </c>
      <c r="C81">
        <v>1511.74</v>
      </c>
      <c r="D81">
        <v>54.800146381010194</v>
      </c>
      <c r="E81">
        <v>517</v>
      </c>
      <c r="F81">
        <v>1</v>
      </c>
      <c r="G81">
        <v>85490.997072379803</v>
      </c>
    </row>
    <row r="82" spans="1:7" x14ac:dyDescent="0.35">
      <c r="A82">
        <v>81</v>
      </c>
      <c r="B82">
        <v>5</v>
      </c>
      <c r="C82">
        <v>1752.64</v>
      </c>
      <c r="D82">
        <v>15.861671442296092</v>
      </c>
      <c r="E82">
        <v>896</v>
      </c>
      <c r="F82">
        <v>0</v>
      </c>
      <c r="G82">
        <v>97814.766571154076</v>
      </c>
    </row>
    <row r="83" spans="1:7" x14ac:dyDescent="0.35">
      <c r="A83">
        <v>82</v>
      </c>
      <c r="B83">
        <v>5</v>
      </c>
      <c r="C83">
        <v>1090.3800000000001</v>
      </c>
      <c r="D83">
        <v>24.424164357363615</v>
      </c>
      <c r="E83">
        <v>538</v>
      </c>
      <c r="F83">
        <v>0</v>
      </c>
      <c r="G83">
        <v>64530.516712852732</v>
      </c>
    </row>
    <row r="84" spans="1:7" x14ac:dyDescent="0.35">
      <c r="A84">
        <v>83</v>
      </c>
      <c r="B84">
        <v>10</v>
      </c>
      <c r="C84">
        <v>1943.14</v>
      </c>
      <c r="D84">
        <v>41.71628256385965</v>
      </c>
      <c r="E84">
        <v>856</v>
      </c>
      <c r="F84">
        <v>0</v>
      </c>
      <c r="G84">
        <v>107322.67434872281</v>
      </c>
    </row>
    <row r="85" spans="1:7" x14ac:dyDescent="0.35">
      <c r="A85">
        <v>84</v>
      </c>
      <c r="B85">
        <v>2</v>
      </c>
      <c r="C85">
        <v>1143.2</v>
      </c>
      <c r="D85">
        <v>36.312138028520295</v>
      </c>
      <c r="E85">
        <v>893</v>
      </c>
      <c r="F85">
        <v>1</v>
      </c>
      <c r="G85">
        <v>66733.7572394296</v>
      </c>
    </row>
    <row r="86" spans="1:7" x14ac:dyDescent="0.35">
      <c r="A86">
        <v>85</v>
      </c>
      <c r="B86">
        <v>8</v>
      </c>
      <c r="C86">
        <v>1719.17</v>
      </c>
      <c r="D86">
        <v>74.544005280818112</v>
      </c>
      <c r="E86">
        <v>636</v>
      </c>
      <c r="F86">
        <v>1</v>
      </c>
      <c r="G86">
        <v>95367.619894383635</v>
      </c>
    </row>
    <row r="87" spans="1:7" x14ac:dyDescent="0.35">
      <c r="A87">
        <v>86</v>
      </c>
      <c r="B87">
        <v>7</v>
      </c>
      <c r="C87">
        <v>1432.21</v>
      </c>
      <c r="D87">
        <v>52.986857260718907</v>
      </c>
      <c r="E87">
        <v>909</v>
      </c>
      <c r="F87">
        <v>0</v>
      </c>
      <c r="G87">
        <v>81250.762854785615</v>
      </c>
    </row>
    <row r="88" spans="1:7" x14ac:dyDescent="0.35">
      <c r="A88">
        <v>87</v>
      </c>
      <c r="B88">
        <v>10</v>
      </c>
      <c r="C88">
        <v>1769.85</v>
      </c>
      <c r="D88">
        <v>71.587293620292783</v>
      </c>
      <c r="E88">
        <v>1031</v>
      </c>
      <c r="F88">
        <v>0</v>
      </c>
      <c r="G88">
        <v>98060.754127594148</v>
      </c>
    </row>
    <row r="89" spans="1:7" x14ac:dyDescent="0.35">
      <c r="A89">
        <v>88</v>
      </c>
      <c r="B89">
        <v>10</v>
      </c>
      <c r="C89">
        <v>1108.71</v>
      </c>
      <c r="D89">
        <v>48.595773824740732</v>
      </c>
      <c r="E89">
        <v>1046</v>
      </c>
      <c r="F89">
        <v>0</v>
      </c>
      <c r="G89">
        <v>65463.584523505182</v>
      </c>
    </row>
    <row r="90" spans="1:7" x14ac:dyDescent="0.35">
      <c r="A90">
        <v>89</v>
      </c>
      <c r="B90">
        <v>7</v>
      </c>
      <c r="C90">
        <v>1059.81</v>
      </c>
      <c r="D90">
        <v>52.329510670947727</v>
      </c>
      <c r="E90">
        <v>849</v>
      </c>
      <c r="F90">
        <v>0</v>
      </c>
      <c r="G90">
        <v>62643.909786581047</v>
      </c>
    </row>
    <row r="91" spans="1:7" x14ac:dyDescent="0.35">
      <c r="A91">
        <v>90</v>
      </c>
      <c r="B91">
        <v>6</v>
      </c>
      <c r="C91">
        <v>1529.5</v>
      </c>
      <c r="D91">
        <v>65.295106207737646</v>
      </c>
      <c r="E91">
        <v>511</v>
      </c>
      <c r="F91">
        <v>0</v>
      </c>
      <c r="G91">
        <v>85769.09787584524</v>
      </c>
    </row>
    <row r="92" spans="1:7" x14ac:dyDescent="0.35">
      <c r="A92">
        <v>91</v>
      </c>
      <c r="B92">
        <v>10</v>
      </c>
      <c r="C92">
        <v>1254.42</v>
      </c>
      <c r="D92">
        <v>54.862767195476479</v>
      </c>
      <c r="E92">
        <v>897</v>
      </c>
      <c r="F92">
        <v>0</v>
      </c>
      <c r="G92">
        <v>72623.744656090479</v>
      </c>
    </row>
    <row r="93" spans="1:7" x14ac:dyDescent="0.35">
      <c r="A93">
        <v>92</v>
      </c>
      <c r="B93">
        <v>4</v>
      </c>
      <c r="C93">
        <v>1776.93</v>
      </c>
      <c r="D93">
        <v>39.990011069305197</v>
      </c>
      <c r="E93">
        <v>673</v>
      </c>
      <c r="F93">
        <v>0</v>
      </c>
      <c r="G93">
        <v>98446.699778613896</v>
      </c>
    </row>
    <row r="94" spans="1:7" x14ac:dyDescent="0.35">
      <c r="A94">
        <v>93</v>
      </c>
      <c r="B94">
        <v>3</v>
      </c>
      <c r="C94">
        <v>1694.54</v>
      </c>
      <c r="D94">
        <v>56.612186560507205</v>
      </c>
      <c r="E94">
        <v>554</v>
      </c>
      <c r="F94">
        <v>0</v>
      </c>
      <c r="G94">
        <v>93894.756268789861</v>
      </c>
    </row>
    <row r="95" spans="1:7" x14ac:dyDescent="0.35">
      <c r="A95">
        <v>94</v>
      </c>
      <c r="B95">
        <v>2</v>
      </c>
      <c r="C95">
        <v>1738.4</v>
      </c>
      <c r="D95">
        <v>61.233056868345983</v>
      </c>
      <c r="E95">
        <v>532</v>
      </c>
      <c r="F95">
        <v>0</v>
      </c>
      <c r="G95">
        <v>95895.338862633085</v>
      </c>
    </row>
    <row r="96" spans="1:7" x14ac:dyDescent="0.35">
      <c r="A96">
        <v>95</v>
      </c>
      <c r="B96">
        <v>7</v>
      </c>
      <c r="C96">
        <v>1479.87</v>
      </c>
      <c r="D96">
        <v>24.418098347138585</v>
      </c>
      <c r="E96">
        <v>568</v>
      </c>
      <c r="F96">
        <v>0</v>
      </c>
      <c r="G96">
        <v>84205.138033057228</v>
      </c>
    </row>
    <row r="97" spans="1:7" x14ac:dyDescent="0.35">
      <c r="A97">
        <v>96</v>
      </c>
      <c r="B97">
        <v>6</v>
      </c>
      <c r="C97">
        <v>1705.51</v>
      </c>
      <c r="D97">
        <v>72.01893788328934</v>
      </c>
      <c r="E97">
        <v>601</v>
      </c>
      <c r="F97">
        <v>0</v>
      </c>
      <c r="G97">
        <v>94435.121242334208</v>
      </c>
    </row>
    <row r="98" spans="1:7" x14ac:dyDescent="0.35">
      <c r="A98">
        <v>97</v>
      </c>
      <c r="B98">
        <v>10</v>
      </c>
      <c r="C98">
        <v>1492.99</v>
      </c>
      <c r="D98">
        <v>58.253076734344489</v>
      </c>
      <c r="E98">
        <v>993</v>
      </c>
      <c r="F98">
        <v>1</v>
      </c>
      <c r="G98">
        <v>84584.438465313113</v>
      </c>
    </row>
    <row r="99" spans="1:7" x14ac:dyDescent="0.35">
      <c r="A99">
        <v>98</v>
      </c>
      <c r="B99">
        <v>6</v>
      </c>
      <c r="C99">
        <v>1363.39</v>
      </c>
      <c r="D99">
        <v>35.532217929169853</v>
      </c>
      <c r="E99">
        <v>883</v>
      </c>
      <c r="F99">
        <v>1</v>
      </c>
      <c r="G99">
        <v>78158.855641416609</v>
      </c>
    </row>
    <row r="100" spans="1:7" x14ac:dyDescent="0.35">
      <c r="A100">
        <v>99</v>
      </c>
      <c r="B100">
        <v>8</v>
      </c>
      <c r="C100">
        <v>1564.79</v>
      </c>
      <c r="D100">
        <v>65.259608501294792</v>
      </c>
      <c r="E100">
        <v>825</v>
      </c>
      <c r="F100">
        <v>1</v>
      </c>
      <c r="G100">
        <v>87834.307829974103</v>
      </c>
    </row>
    <row r="101" spans="1:7" x14ac:dyDescent="0.35">
      <c r="A101">
        <v>100</v>
      </c>
      <c r="B101">
        <v>3</v>
      </c>
      <c r="C101">
        <v>1574.22</v>
      </c>
      <c r="D101">
        <v>82.52160468877247</v>
      </c>
      <c r="E101">
        <v>730</v>
      </c>
      <c r="F101">
        <v>1</v>
      </c>
      <c r="G101">
        <v>87460.567906224547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7693-4F16-4B9A-87B8-A426E39AFC1E}">
  <dimension ref="A2:G118"/>
  <sheetViews>
    <sheetView tabSelected="1" zoomScaleNormal="100" workbookViewId="0">
      <selection activeCell="C11" sqref="C11"/>
    </sheetView>
  </sheetViews>
  <sheetFormatPr baseColWidth="10" defaultColWidth="8.7265625" defaultRowHeight="14.5" x14ac:dyDescent="0.35"/>
  <cols>
    <col min="2" max="5" width="10.1796875" customWidth="1"/>
  </cols>
  <sheetData>
    <row r="2" spans="1:7" x14ac:dyDescent="0.35">
      <c r="A2" t="s">
        <v>0</v>
      </c>
    </row>
    <row r="3" spans="1:7" x14ac:dyDescent="0.35">
      <c r="A3" t="s">
        <v>13</v>
      </c>
      <c r="B3">
        <v>10000</v>
      </c>
    </row>
    <row r="4" spans="1:7" x14ac:dyDescent="0.35">
      <c r="A4" t="s">
        <v>8</v>
      </c>
      <c r="B4">
        <v>100</v>
      </c>
    </row>
    <row r="5" spans="1:7" x14ac:dyDescent="0.35">
      <c r="A5" t="s">
        <v>9</v>
      </c>
      <c r="B5">
        <v>50</v>
      </c>
    </row>
    <row r="6" spans="1:7" x14ac:dyDescent="0.35">
      <c r="A6" t="s">
        <v>10</v>
      </c>
      <c r="B6">
        <v>-20</v>
      </c>
    </row>
    <row r="7" spans="1:7" x14ac:dyDescent="0.35">
      <c r="A7" t="s">
        <v>11</v>
      </c>
      <c r="B7">
        <v>0</v>
      </c>
    </row>
    <row r="8" spans="1:7" x14ac:dyDescent="0.35">
      <c r="A8" t="s">
        <v>12</v>
      </c>
      <c r="B8">
        <v>100</v>
      </c>
    </row>
    <row r="10" spans="1:7" x14ac:dyDescent="0.35">
      <c r="A10" t="s">
        <v>6</v>
      </c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5</v>
      </c>
    </row>
    <row r="11" spans="1:7" x14ac:dyDescent="0.35">
      <c r="A11">
        <v>1</v>
      </c>
      <c r="B11">
        <f ca="1">RANDBETWEEN(2,10)</f>
        <v>6</v>
      </c>
      <c r="C11">
        <f ca="1">ROUND(RAND()*1000+1000,2)</f>
        <v>1030.3</v>
      </c>
      <c r="D11" s="1">
        <f ca="1">_xlfn.NORM.INV(RAND(),50,20)</f>
        <v>61.698539672796386</v>
      </c>
      <c r="E11">
        <f ca="1">RANDBETWEEN(500,1070)</f>
        <v>654</v>
      </c>
      <c r="F11">
        <f ca="1">IF(RAND()&lt;=0.5,0,1)</f>
        <v>0</v>
      </c>
      <c r="G11" cm="1">
        <f t="array" aca="1" ref="G11" ca="1">SUMPRODUCT(TRANSPOSE($B$4:$B$8),B11:F11)+$B$3</f>
        <v>60881.029206544074</v>
      </c>
    </row>
    <row r="12" spans="1:7" x14ac:dyDescent="0.35">
      <c r="A12">
        <v>2</v>
      </c>
      <c r="B12">
        <f t="shared" ref="B12:B110" ca="1" si="0">RANDBETWEEN(2,10)</f>
        <v>2</v>
      </c>
      <c r="C12">
        <f t="shared" ref="C12:C110" ca="1" si="1">ROUND(RAND()*1000+1000,2)</f>
        <v>1362.7</v>
      </c>
      <c r="D12" s="1">
        <f t="shared" ref="D12:D110" ca="1" si="2">_xlfn.NORM.INV(RAND(),50,20)</f>
        <v>41.5380573308652</v>
      </c>
      <c r="E12">
        <f t="shared" ref="E12:E110" ca="1" si="3">RANDBETWEEN(500,1070)</f>
        <v>618</v>
      </c>
      <c r="F12">
        <f t="shared" ref="F12:F110" ca="1" si="4">IF(RAND()&lt;=0.5,0,1)</f>
        <v>0</v>
      </c>
      <c r="G12" cm="1">
        <f t="array" aca="1" ref="G12" ca="1">SUMPRODUCT(TRANSPOSE($B$4:$B$8),B12:F12)+$B$3</f>
        <v>77504.238853382689</v>
      </c>
    </row>
    <row r="13" spans="1:7" x14ac:dyDescent="0.35">
      <c r="A13">
        <v>3</v>
      </c>
      <c r="B13">
        <f t="shared" ca="1" si="0"/>
        <v>7</v>
      </c>
      <c r="C13">
        <f t="shared" ca="1" si="1"/>
        <v>1661.3</v>
      </c>
      <c r="D13" s="1">
        <f t="shared" ca="1" si="2"/>
        <v>52.224052288333041</v>
      </c>
      <c r="E13">
        <f t="shared" ca="1" si="3"/>
        <v>1026</v>
      </c>
      <c r="F13">
        <f t="shared" ca="1" si="4"/>
        <v>1</v>
      </c>
      <c r="G13" cm="1">
        <f t="array" aca="1" ref="G13" ca="1">SUMPRODUCT(TRANSPOSE($B$4:$B$8),B13:F13)+$B$3</f>
        <v>92820.518954233339</v>
      </c>
    </row>
    <row r="14" spans="1:7" x14ac:dyDescent="0.35">
      <c r="A14">
        <v>4</v>
      </c>
      <c r="B14">
        <f t="shared" ca="1" si="0"/>
        <v>3</v>
      </c>
      <c r="C14">
        <f t="shared" ca="1" si="1"/>
        <v>1062.53</v>
      </c>
      <c r="D14" s="1">
        <f t="shared" ca="1" si="2"/>
        <v>56.240929274260196</v>
      </c>
      <c r="E14">
        <f t="shared" ca="1" si="3"/>
        <v>929</v>
      </c>
      <c r="F14">
        <f t="shared" ca="1" si="4"/>
        <v>0</v>
      </c>
      <c r="G14" cm="1">
        <f t="array" aca="1" ref="G14" ca="1">SUMPRODUCT(TRANSPOSE($B$4:$B$8),B14:F14)+$B$3</f>
        <v>62301.681414514795</v>
      </c>
    </row>
    <row r="15" spans="1:7" x14ac:dyDescent="0.35">
      <c r="A15">
        <v>5</v>
      </c>
      <c r="B15">
        <f t="shared" ca="1" si="0"/>
        <v>6</v>
      </c>
      <c r="C15">
        <f t="shared" ca="1" si="1"/>
        <v>1354.1</v>
      </c>
      <c r="D15" s="1">
        <f t="shared" ca="1" si="2"/>
        <v>72.265094548135266</v>
      </c>
      <c r="E15">
        <f t="shared" ca="1" si="3"/>
        <v>990</v>
      </c>
      <c r="F15">
        <f t="shared" ca="1" si="4"/>
        <v>1</v>
      </c>
      <c r="G15" cm="1">
        <f t="array" aca="1" ref="G15" ca="1">SUMPRODUCT(TRANSPOSE($B$4:$B$8),B15:F15)+$B$3</f>
        <v>76959.698109037301</v>
      </c>
    </row>
    <row r="16" spans="1:7" x14ac:dyDescent="0.35">
      <c r="A16">
        <v>6</v>
      </c>
      <c r="B16">
        <f t="shared" ca="1" si="0"/>
        <v>6</v>
      </c>
      <c r="C16">
        <f t="shared" ca="1" si="1"/>
        <v>1698.3</v>
      </c>
      <c r="D16" s="1">
        <f t="shared" ca="1" si="2"/>
        <v>80.443515921611564</v>
      </c>
      <c r="E16">
        <f t="shared" ca="1" si="3"/>
        <v>582</v>
      </c>
      <c r="F16">
        <f t="shared" ca="1" si="4"/>
        <v>1</v>
      </c>
      <c r="G16" cm="1">
        <f t="array" aca="1" ref="G16" ca="1">SUMPRODUCT(TRANSPOSE($B$4:$B$8),B16:F16)+$B$3</f>
        <v>94006.129681567763</v>
      </c>
    </row>
    <row r="17" spans="1:7" x14ac:dyDescent="0.35">
      <c r="A17">
        <v>7</v>
      </c>
      <c r="B17">
        <f t="shared" ca="1" si="0"/>
        <v>6</v>
      </c>
      <c r="C17">
        <f t="shared" ca="1" si="1"/>
        <v>1443.6</v>
      </c>
      <c r="D17" s="1">
        <f t="shared" ca="1" si="2"/>
        <v>43.413533350276268</v>
      </c>
      <c r="E17">
        <f t="shared" ca="1" si="3"/>
        <v>1029</v>
      </c>
      <c r="F17">
        <f t="shared" ca="1" si="4"/>
        <v>0</v>
      </c>
      <c r="G17" cm="1">
        <f t="array" aca="1" ref="G17" ca="1">SUMPRODUCT(TRANSPOSE($B$4:$B$8),B17:F17)+$B$3</f>
        <v>81911.729332994481</v>
      </c>
    </row>
    <row r="18" spans="1:7" x14ac:dyDescent="0.35">
      <c r="A18">
        <v>8</v>
      </c>
      <c r="B18">
        <f t="shared" ca="1" si="0"/>
        <v>5</v>
      </c>
      <c r="C18">
        <f t="shared" ca="1" si="1"/>
        <v>1059.98</v>
      </c>
      <c r="D18" s="1">
        <f t="shared" ca="1" si="2"/>
        <v>65.47151204690104</v>
      </c>
      <c r="E18">
        <f t="shared" ca="1" si="3"/>
        <v>1003</v>
      </c>
      <c r="F18">
        <f t="shared" ca="1" si="4"/>
        <v>1</v>
      </c>
      <c r="G18" cm="1">
        <f t="array" aca="1" ref="G18" ca="1">SUMPRODUCT(TRANSPOSE($B$4:$B$8),B18:F18)+$B$3</f>
        <v>62289.569759061982</v>
      </c>
    </row>
    <row r="19" spans="1:7" x14ac:dyDescent="0.35">
      <c r="A19">
        <v>9</v>
      </c>
      <c r="B19">
        <f t="shared" ca="1" si="0"/>
        <v>6</v>
      </c>
      <c r="C19">
        <f t="shared" ca="1" si="1"/>
        <v>1170.47</v>
      </c>
      <c r="D19" s="1">
        <f t="shared" ca="1" si="2"/>
        <v>33.616382085949425</v>
      </c>
      <c r="E19">
        <f t="shared" ca="1" si="3"/>
        <v>951</v>
      </c>
      <c r="F19">
        <f t="shared" ca="1" si="4"/>
        <v>0</v>
      </c>
      <c r="G19" cm="1">
        <f t="array" aca="1" ref="G19" ca="1">SUMPRODUCT(TRANSPOSE($B$4:$B$8),B19:F19)+$B$3</f>
        <v>68451.172358281008</v>
      </c>
    </row>
    <row r="20" spans="1:7" x14ac:dyDescent="0.35">
      <c r="A20">
        <v>10</v>
      </c>
      <c r="B20">
        <f t="shared" ca="1" si="0"/>
        <v>9</v>
      </c>
      <c r="C20">
        <f t="shared" ca="1" si="1"/>
        <v>1036.2</v>
      </c>
      <c r="D20" s="1">
        <f t="shared" ca="1" si="2"/>
        <v>60.363881974940796</v>
      </c>
      <c r="E20">
        <f t="shared" ca="1" si="3"/>
        <v>610</v>
      </c>
      <c r="F20">
        <f t="shared" ca="1" si="4"/>
        <v>1</v>
      </c>
      <c r="G20" cm="1">
        <f t="array" aca="1" ref="G20" ca="1">SUMPRODUCT(TRANSPOSE($B$4:$B$8),B20:F20)+$B$3</f>
        <v>61602.722360501182</v>
      </c>
    </row>
    <row r="21" spans="1:7" x14ac:dyDescent="0.35">
      <c r="A21">
        <v>11</v>
      </c>
      <c r="B21">
        <f t="shared" ca="1" si="0"/>
        <v>7</v>
      </c>
      <c r="C21">
        <f t="shared" ca="1" si="1"/>
        <v>1564.11</v>
      </c>
      <c r="D21" s="1">
        <f t="shared" ca="1" si="2"/>
        <v>45.031905814746239</v>
      </c>
      <c r="E21">
        <f t="shared" ca="1" si="3"/>
        <v>531</v>
      </c>
      <c r="F21">
        <f t="shared" ca="1" si="4"/>
        <v>0</v>
      </c>
      <c r="G21" cm="1">
        <f t="array" aca="1" ref="G21" ca="1">SUMPRODUCT(TRANSPOSE($B$4:$B$8),B21:F21)+$B$3</f>
        <v>88004.861883705074</v>
      </c>
    </row>
    <row r="22" spans="1:7" x14ac:dyDescent="0.35">
      <c r="A22">
        <v>12</v>
      </c>
      <c r="B22">
        <f t="shared" ca="1" si="0"/>
        <v>4</v>
      </c>
      <c r="C22">
        <f t="shared" ca="1" si="1"/>
        <v>1156.19</v>
      </c>
      <c r="D22" s="1">
        <f t="shared" ca="1" si="2"/>
        <v>67.042837915893742</v>
      </c>
      <c r="E22">
        <f t="shared" ca="1" si="3"/>
        <v>541</v>
      </c>
      <c r="F22">
        <f t="shared" ca="1" si="4"/>
        <v>1</v>
      </c>
      <c r="G22" cm="1">
        <f t="array" aca="1" ref="G22" ca="1">SUMPRODUCT(TRANSPOSE($B$4:$B$8),B22:F22)+$B$3</f>
        <v>66968.643241682119</v>
      </c>
    </row>
    <row r="23" spans="1:7" x14ac:dyDescent="0.35">
      <c r="A23">
        <v>13</v>
      </c>
      <c r="B23">
        <f t="shared" ca="1" si="0"/>
        <v>6</v>
      </c>
      <c r="C23">
        <f t="shared" ca="1" si="1"/>
        <v>1293.9000000000001</v>
      </c>
      <c r="D23" s="1">
        <f t="shared" ca="1" si="2"/>
        <v>48.573016949031761</v>
      </c>
      <c r="E23">
        <f t="shared" ca="1" si="3"/>
        <v>831</v>
      </c>
      <c r="F23">
        <f t="shared" ca="1" si="4"/>
        <v>0</v>
      </c>
      <c r="G23" cm="1">
        <f t="array" aca="1" ref="G23" ca="1">SUMPRODUCT(TRANSPOSE($B$4:$B$8),B23:F23)+$B$3</f>
        <v>74323.539661019371</v>
      </c>
    </row>
    <row r="24" spans="1:7" x14ac:dyDescent="0.35">
      <c r="A24">
        <v>14</v>
      </c>
      <c r="B24">
        <f t="shared" ca="1" si="0"/>
        <v>6</v>
      </c>
      <c r="C24">
        <f t="shared" ca="1" si="1"/>
        <v>1963.06</v>
      </c>
      <c r="D24" s="1">
        <f t="shared" ca="1" si="2"/>
        <v>36.976382669481573</v>
      </c>
      <c r="E24">
        <f t="shared" ca="1" si="3"/>
        <v>589</v>
      </c>
      <c r="F24">
        <f t="shared" ca="1" si="4"/>
        <v>0</v>
      </c>
      <c r="G24" cm="1">
        <f t="array" aca="1" ref="G24" ca="1">SUMPRODUCT(TRANSPOSE($B$4:$B$8),B24:F24)+$B$3</f>
        <v>108013.47234661038</v>
      </c>
    </row>
    <row r="25" spans="1:7" x14ac:dyDescent="0.35">
      <c r="A25">
        <v>15</v>
      </c>
      <c r="B25">
        <f t="shared" ca="1" si="0"/>
        <v>7</v>
      </c>
      <c r="C25">
        <f t="shared" ca="1" si="1"/>
        <v>1166.77</v>
      </c>
      <c r="D25" s="1">
        <f t="shared" ca="1" si="2"/>
        <v>60.599166817279944</v>
      </c>
      <c r="E25">
        <f t="shared" ca="1" si="3"/>
        <v>628</v>
      </c>
      <c r="F25">
        <f t="shared" ca="1" si="4"/>
        <v>1</v>
      </c>
      <c r="G25" cm="1">
        <f t="array" aca="1" ref="G25" ca="1">SUMPRODUCT(TRANSPOSE($B$4:$B$8),B25:F25)+$B$3</f>
        <v>67926.516663654402</v>
      </c>
    </row>
    <row r="26" spans="1:7" x14ac:dyDescent="0.35">
      <c r="A26">
        <v>16</v>
      </c>
      <c r="B26">
        <f t="shared" ca="1" si="0"/>
        <v>2</v>
      </c>
      <c r="C26">
        <f t="shared" ca="1" si="1"/>
        <v>1862.8</v>
      </c>
      <c r="D26" s="1">
        <f t="shared" ca="1" si="2"/>
        <v>65.062161398997745</v>
      </c>
      <c r="E26">
        <f t="shared" ca="1" si="3"/>
        <v>814</v>
      </c>
      <c r="F26">
        <f t="shared" ca="1" si="4"/>
        <v>1</v>
      </c>
      <c r="G26" cm="1">
        <f t="array" aca="1" ref="G26" ca="1">SUMPRODUCT(TRANSPOSE($B$4:$B$8),B26:F26)+$B$3</f>
        <v>102138.75677202005</v>
      </c>
    </row>
    <row r="27" spans="1:7" x14ac:dyDescent="0.35">
      <c r="A27">
        <v>17</v>
      </c>
      <c r="B27">
        <f t="shared" ca="1" si="0"/>
        <v>8</v>
      </c>
      <c r="C27">
        <f t="shared" ca="1" si="1"/>
        <v>1973.2</v>
      </c>
      <c r="D27" s="1">
        <f t="shared" ca="1" si="2"/>
        <v>51.513737319451643</v>
      </c>
      <c r="E27">
        <f t="shared" ca="1" si="3"/>
        <v>1019</v>
      </c>
      <c r="F27">
        <f t="shared" ca="1" si="4"/>
        <v>1</v>
      </c>
      <c r="G27" cm="1">
        <f t="array" aca="1" ref="G27" ca="1">SUMPRODUCT(TRANSPOSE($B$4:$B$8),B27:F27)+$B$3</f>
        <v>108529.72525361097</v>
      </c>
    </row>
    <row r="28" spans="1:7" x14ac:dyDescent="0.35">
      <c r="A28">
        <v>18</v>
      </c>
      <c r="B28">
        <f t="shared" ca="1" si="0"/>
        <v>9</v>
      </c>
      <c r="C28">
        <f t="shared" ca="1" si="1"/>
        <v>1601.89</v>
      </c>
      <c r="D28" s="1">
        <f t="shared" ca="1" si="2"/>
        <v>82.653637798148452</v>
      </c>
      <c r="E28">
        <f t="shared" ca="1" si="3"/>
        <v>1022</v>
      </c>
      <c r="F28">
        <f t="shared" ca="1" si="4"/>
        <v>1</v>
      </c>
      <c r="G28" cm="1">
        <f t="array" aca="1" ref="G28" ca="1">SUMPRODUCT(TRANSPOSE($B$4:$B$8),B28:F28)+$B$3</f>
        <v>89441.427244037026</v>
      </c>
    </row>
    <row r="29" spans="1:7" x14ac:dyDescent="0.35">
      <c r="A29">
        <v>19</v>
      </c>
      <c r="B29">
        <f t="shared" ca="1" si="0"/>
        <v>3</v>
      </c>
      <c r="C29">
        <f t="shared" ca="1" si="1"/>
        <v>1422.1</v>
      </c>
      <c r="D29" s="1">
        <f t="shared" ca="1" si="2"/>
        <v>39.72910163062727</v>
      </c>
      <c r="E29">
        <f t="shared" ca="1" si="3"/>
        <v>853</v>
      </c>
      <c r="F29">
        <f t="shared" ca="1" si="4"/>
        <v>1</v>
      </c>
      <c r="G29" cm="1">
        <f t="array" aca="1" ref="G29" ca="1">SUMPRODUCT(TRANSPOSE($B$4:$B$8),B29:F29)+$B$3</f>
        <v>80710.417967387461</v>
      </c>
    </row>
    <row r="30" spans="1:7" x14ac:dyDescent="0.35">
      <c r="A30">
        <v>20</v>
      </c>
      <c r="B30">
        <f t="shared" ca="1" si="0"/>
        <v>4</v>
      </c>
      <c r="C30">
        <f t="shared" ca="1" si="1"/>
        <v>1210.94</v>
      </c>
      <c r="D30" s="1">
        <f t="shared" ca="1" si="2"/>
        <v>45.064910552647859</v>
      </c>
      <c r="E30">
        <f t="shared" ca="1" si="3"/>
        <v>673</v>
      </c>
      <c r="F30">
        <f t="shared" ca="1" si="4"/>
        <v>1</v>
      </c>
      <c r="G30" cm="1">
        <f t="array" aca="1" ref="G30" ca="1">SUMPRODUCT(TRANSPOSE($B$4:$B$8),B30:F30)+$B$3</f>
        <v>70145.701788947044</v>
      </c>
    </row>
    <row r="31" spans="1:7" x14ac:dyDescent="0.35">
      <c r="A31">
        <v>21</v>
      </c>
      <c r="B31">
        <f t="shared" ca="1" si="0"/>
        <v>5</v>
      </c>
      <c r="C31">
        <f t="shared" ca="1" si="1"/>
        <v>1622.58</v>
      </c>
      <c r="D31" s="1">
        <f t="shared" ca="1" si="2"/>
        <v>70.124979901223895</v>
      </c>
      <c r="E31">
        <f t="shared" ca="1" si="3"/>
        <v>1016</v>
      </c>
      <c r="F31">
        <f t="shared" ca="1" si="4"/>
        <v>1</v>
      </c>
      <c r="G31" cm="1">
        <f t="array" aca="1" ref="G31" ca="1">SUMPRODUCT(TRANSPOSE($B$4:$B$8),B31:F31)+$B$3</f>
        <v>90326.500401975529</v>
      </c>
    </row>
    <row r="32" spans="1:7" x14ac:dyDescent="0.35">
      <c r="A32">
        <v>22</v>
      </c>
      <c r="B32">
        <f t="shared" ca="1" si="0"/>
        <v>3</v>
      </c>
      <c r="C32">
        <f t="shared" ca="1" si="1"/>
        <v>1018.24</v>
      </c>
      <c r="D32" s="1">
        <f t="shared" ca="1" si="2"/>
        <v>42.493461468779032</v>
      </c>
      <c r="E32">
        <f t="shared" ca="1" si="3"/>
        <v>820</v>
      </c>
      <c r="F32">
        <f t="shared" ca="1" si="4"/>
        <v>1</v>
      </c>
      <c r="G32" cm="1">
        <f t="array" aca="1" ref="G32" ca="1">SUMPRODUCT(TRANSPOSE($B$4:$B$8),B32:F32)+$B$3</f>
        <v>60462.130770624419</v>
      </c>
    </row>
    <row r="33" spans="1:7" x14ac:dyDescent="0.35">
      <c r="A33">
        <v>23</v>
      </c>
      <c r="B33">
        <f t="shared" ca="1" si="0"/>
        <v>8</v>
      </c>
      <c r="C33">
        <f t="shared" ca="1" si="1"/>
        <v>1069.07</v>
      </c>
      <c r="D33" s="1">
        <f t="shared" ca="1" si="2"/>
        <v>28.480980815422367</v>
      </c>
      <c r="E33">
        <f t="shared" ca="1" si="3"/>
        <v>1049</v>
      </c>
      <c r="F33">
        <f t="shared" ca="1" si="4"/>
        <v>0</v>
      </c>
      <c r="G33" cm="1">
        <f t="array" aca="1" ref="G33" ca="1">SUMPRODUCT(TRANSPOSE($B$4:$B$8),B33:F33)+$B$3</f>
        <v>63683.880383691554</v>
      </c>
    </row>
    <row r="34" spans="1:7" x14ac:dyDescent="0.35">
      <c r="A34">
        <v>24</v>
      </c>
      <c r="B34">
        <f t="shared" ca="1" si="0"/>
        <v>5</v>
      </c>
      <c r="C34">
        <f t="shared" ca="1" si="1"/>
        <v>1559.68</v>
      </c>
      <c r="D34" s="1">
        <f t="shared" ca="1" si="2"/>
        <v>96.921496574629103</v>
      </c>
      <c r="E34">
        <f t="shared" ca="1" si="3"/>
        <v>678</v>
      </c>
      <c r="F34">
        <f t="shared" ca="1" si="4"/>
        <v>1</v>
      </c>
      <c r="G34" cm="1">
        <f t="array" aca="1" ref="G34" ca="1">SUMPRODUCT(TRANSPOSE($B$4:$B$8),B34:F34)+$B$3</f>
        <v>86645.570068507412</v>
      </c>
    </row>
    <row r="35" spans="1:7" x14ac:dyDescent="0.35">
      <c r="A35">
        <v>25</v>
      </c>
      <c r="B35">
        <f t="shared" ca="1" si="0"/>
        <v>5</v>
      </c>
      <c r="C35">
        <f t="shared" ca="1" si="1"/>
        <v>1329.08</v>
      </c>
      <c r="D35" s="1">
        <f t="shared" ca="1" si="2"/>
        <v>18.615138414733803</v>
      </c>
      <c r="E35">
        <f t="shared" ca="1" si="3"/>
        <v>960</v>
      </c>
      <c r="F35">
        <f t="shared" ca="1" si="4"/>
        <v>1</v>
      </c>
      <c r="G35" cm="1">
        <f t="array" aca="1" ref="G35" ca="1">SUMPRODUCT(TRANSPOSE($B$4:$B$8),B35:F35)+$B$3</f>
        <v>76681.69723170533</v>
      </c>
    </row>
    <row r="36" spans="1:7" x14ac:dyDescent="0.35">
      <c r="A36">
        <v>26</v>
      </c>
      <c r="B36">
        <f t="shared" ca="1" si="0"/>
        <v>10</v>
      </c>
      <c r="C36">
        <f t="shared" ca="1" si="1"/>
        <v>1795.55</v>
      </c>
      <c r="D36" s="1">
        <f t="shared" ca="1" si="2"/>
        <v>67.123059676881496</v>
      </c>
      <c r="E36">
        <f t="shared" ca="1" si="3"/>
        <v>758</v>
      </c>
      <c r="F36">
        <f t="shared" ca="1" si="4"/>
        <v>1</v>
      </c>
      <c r="G36" cm="1">
        <f t="array" aca="1" ref="G36" ca="1">SUMPRODUCT(TRANSPOSE($B$4:$B$8),B36:F36)+$B$3</f>
        <v>99535.038806462369</v>
      </c>
    </row>
    <row r="37" spans="1:7" x14ac:dyDescent="0.35">
      <c r="A37">
        <v>27</v>
      </c>
      <c r="B37">
        <f t="shared" ca="1" si="0"/>
        <v>8</v>
      </c>
      <c r="C37">
        <f t="shared" ca="1" si="1"/>
        <v>1273.0999999999999</v>
      </c>
      <c r="D37" s="1">
        <f t="shared" ca="1" si="2"/>
        <v>15.383895947317569</v>
      </c>
      <c r="E37">
        <f t="shared" ca="1" si="3"/>
        <v>576</v>
      </c>
      <c r="F37">
        <f t="shared" ca="1" si="4"/>
        <v>1</v>
      </c>
      <c r="G37" cm="1">
        <f t="array" aca="1" ref="G37" ca="1">SUMPRODUCT(TRANSPOSE($B$4:$B$8),B37:F37)+$B$3</f>
        <v>74247.322081053644</v>
      </c>
    </row>
    <row r="38" spans="1:7" x14ac:dyDescent="0.35">
      <c r="A38">
        <v>28</v>
      </c>
      <c r="B38">
        <f t="shared" ca="1" si="0"/>
        <v>4</v>
      </c>
      <c r="C38">
        <f t="shared" ca="1" si="1"/>
        <v>1856.59</v>
      </c>
      <c r="D38" s="1">
        <f t="shared" ca="1" si="2"/>
        <v>54.475264044251233</v>
      </c>
      <c r="E38">
        <f t="shared" ca="1" si="3"/>
        <v>949</v>
      </c>
      <c r="F38">
        <f t="shared" ca="1" si="4"/>
        <v>1</v>
      </c>
      <c r="G38" cm="1">
        <f t="array" aca="1" ref="G38" ca="1">SUMPRODUCT(TRANSPOSE($B$4:$B$8),B38:F38)+$B$3</f>
        <v>102239.99471911497</v>
      </c>
    </row>
    <row r="39" spans="1:7" x14ac:dyDescent="0.35">
      <c r="A39">
        <v>29</v>
      </c>
      <c r="B39">
        <f t="shared" ca="1" si="0"/>
        <v>6</v>
      </c>
      <c r="C39">
        <f t="shared" ca="1" si="1"/>
        <v>1341.93</v>
      </c>
      <c r="D39" s="1">
        <f t="shared" ca="1" si="2"/>
        <v>30.922590519426855</v>
      </c>
      <c r="E39">
        <f t="shared" ca="1" si="3"/>
        <v>510</v>
      </c>
      <c r="F39">
        <f t="shared" ca="1" si="4"/>
        <v>0</v>
      </c>
      <c r="G39" cm="1">
        <f t="array" aca="1" ref="G39" ca="1">SUMPRODUCT(TRANSPOSE($B$4:$B$8),B39:F39)+$B$3</f>
        <v>77078.048189611465</v>
      </c>
    </row>
    <row r="40" spans="1:7" x14ac:dyDescent="0.35">
      <c r="A40">
        <v>30</v>
      </c>
      <c r="B40">
        <f t="shared" ca="1" si="0"/>
        <v>7</v>
      </c>
      <c r="C40">
        <f t="shared" ca="1" si="1"/>
        <v>1239.43</v>
      </c>
      <c r="D40" s="1">
        <f t="shared" ca="1" si="2"/>
        <v>50.054711603008556</v>
      </c>
      <c r="E40">
        <f t="shared" ca="1" si="3"/>
        <v>1028</v>
      </c>
      <c r="F40">
        <f t="shared" ca="1" si="4"/>
        <v>0</v>
      </c>
      <c r="G40" cm="1">
        <f t="array" aca="1" ref="G40" ca="1">SUMPRODUCT(TRANSPOSE($B$4:$B$8),B40:F40)+$B$3</f>
        <v>71670.405767939839</v>
      </c>
    </row>
    <row r="41" spans="1:7" x14ac:dyDescent="0.35">
      <c r="A41">
        <v>31</v>
      </c>
      <c r="B41">
        <f t="shared" ca="1" si="0"/>
        <v>10</v>
      </c>
      <c r="C41">
        <f t="shared" ca="1" si="1"/>
        <v>1462.52</v>
      </c>
      <c r="D41" s="1">
        <f t="shared" ca="1" si="2"/>
        <v>65.804206092752395</v>
      </c>
      <c r="E41">
        <f t="shared" ca="1" si="3"/>
        <v>986</v>
      </c>
      <c r="F41">
        <f t="shared" ca="1" si="4"/>
        <v>1</v>
      </c>
      <c r="G41" cm="1">
        <f t="array" aca="1" ref="G41" ca="1">SUMPRODUCT(TRANSPOSE($B$4:$B$8),B41:F41)+$B$3</f>
        <v>82909.915878144951</v>
      </c>
    </row>
    <row r="42" spans="1:7" x14ac:dyDescent="0.35">
      <c r="A42">
        <v>32</v>
      </c>
      <c r="B42">
        <f t="shared" ca="1" si="0"/>
        <v>5</v>
      </c>
      <c r="C42">
        <f t="shared" ca="1" si="1"/>
        <v>1379.38</v>
      </c>
      <c r="D42" s="1">
        <f t="shared" ca="1" si="2"/>
        <v>50.43131159838466</v>
      </c>
      <c r="E42">
        <f t="shared" ca="1" si="3"/>
        <v>671</v>
      </c>
      <c r="F42">
        <f t="shared" ca="1" si="4"/>
        <v>0</v>
      </c>
      <c r="G42" cm="1">
        <f t="array" aca="1" ref="G42" ca="1">SUMPRODUCT(TRANSPOSE($B$4:$B$8),B42:F42)+$B$3</f>
        <v>78460.37376803231</v>
      </c>
    </row>
    <row r="43" spans="1:7" x14ac:dyDescent="0.35">
      <c r="A43">
        <v>33</v>
      </c>
      <c r="B43">
        <f t="shared" ca="1" si="0"/>
        <v>2</v>
      </c>
      <c r="C43">
        <f t="shared" ca="1" si="1"/>
        <v>1294.1099999999999</v>
      </c>
      <c r="D43" s="1">
        <f t="shared" ca="1" si="2"/>
        <v>41.136889695067701</v>
      </c>
      <c r="E43">
        <f t="shared" ca="1" si="3"/>
        <v>632</v>
      </c>
      <c r="F43">
        <f t="shared" ca="1" si="4"/>
        <v>1</v>
      </c>
      <c r="G43" cm="1">
        <f t="array" aca="1" ref="G43" ca="1">SUMPRODUCT(TRANSPOSE($B$4:$B$8),B43:F43)+$B$3</f>
        <v>74182.762206098647</v>
      </c>
    </row>
    <row r="44" spans="1:7" x14ac:dyDescent="0.35">
      <c r="A44">
        <v>34</v>
      </c>
      <c r="B44">
        <f t="shared" ca="1" si="0"/>
        <v>7</v>
      </c>
      <c r="C44">
        <f t="shared" ca="1" si="1"/>
        <v>1429.94</v>
      </c>
      <c r="D44" s="1">
        <f t="shared" ca="1" si="2"/>
        <v>37.211806580515486</v>
      </c>
      <c r="E44">
        <f t="shared" ca="1" si="3"/>
        <v>629</v>
      </c>
      <c r="F44">
        <f t="shared" ca="1" si="4"/>
        <v>1</v>
      </c>
      <c r="G44" cm="1">
        <f t="array" aca="1" ref="G44" ca="1">SUMPRODUCT(TRANSPOSE($B$4:$B$8),B44:F44)+$B$3</f>
        <v>81552.763868389695</v>
      </c>
    </row>
    <row r="45" spans="1:7" x14ac:dyDescent="0.35">
      <c r="A45">
        <v>35</v>
      </c>
      <c r="B45">
        <f t="shared" ca="1" si="0"/>
        <v>7</v>
      </c>
      <c r="C45">
        <f t="shared" ca="1" si="1"/>
        <v>1208.71</v>
      </c>
      <c r="D45" s="1">
        <f t="shared" ca="1" si="2"/>
        <v>44.069313821978852</v>
      </c>
      <c r="E45">
        <f t="shared" ca="1" si="3"/>
        <v>686</v>
      </c>
      <c r="F45">
        <f t="shared" ca="1" si="4"/>
        <v>1</v>
      </c>
      <c r="G45" cm="1">
        <f t="array" aca="1" ref="G45" ca="1">SUMPRODUCT(TRANSPOSE($B$4:$B$8),B45:F45)+$B$3</f>
        <v>70354.113723560426</v>
      </c>
    </row>
    <row r="46" spans="1:7" x14ac:dyDescent="0.35">
      <c r="A46">
        <v>36</v>
      </c>
      <c r="B46">
        <f t="shared" ca="1" si="0"/>
        <v>10</v>
      </c>
      <c r="C46">
        <f t="shared" ca="1" si="1"/>
        <v>1611.97</v>
      </c>
      <c r="D46" s="1">
        <f t="shared" ca="1" si="2"/>
        <v>45.509870907081343</v>
      </c>
      <c r="E46">
        <f t="shared" ca="1" si="3"/>
        <v>789</v>
      </c>
      <c r="F46">
        <f t="shared" ca="1" si="4"/>
        <v>0</v>
      </c>
      <c r="G46" cm="1">
        <f t="array" aca="1" ref="G46" ca="1">SUMPRODUCT(TRANSPOSE($B$4:$B$8),B46:F46)+$B$3</f>
        <v>90688.30258185837</v>
      </c>
    </row>
    <row r="47" spans="1:7" x14ac:dyDescent="0.35">
      <c r="A47">
        <v>37</v>
      </c>
      <c r="B47">
        <f t="shared" ca="1" si="0"/>
        <v>4</v>
      </c>
      <c r="C47">
        <f t="shared" ca="1" si="1"/>
        <v>1656.9</v>
      </c>
      <c r="D47" s="1">
        <f t="shared" ca="1" si="2"/>
        <v>35.965539779022848</v>
      </c>
      <c r="E47">
        <f t="shared" ca="1" si="3"/>
        <v>643</v>
      </c>
      <c r="F47">
        <f t="shared" ca="1" si="4"/>
        <v>1</v>
      </c>
      <c r="G47" cm="1">
        <f t="array" aca="1" ref="G47" ca="1">SUMPRODUCT(TRANSPOSE($B$4:$B$8),B47:F47)+$B$3</f>
        <v>92625.689204419541</v>
      </c>
    </row>
    <row r="48" spans="1:7" x14ac:dyDescent="0.35">
      <c r="A48">
        <v>38</v>
      </c>
      <c r="B48">
        <f t="shared" ca="1" si="0"/>
        <v>2</v>
      </c>
      <c r="C48">
        <f t="shared" ca="1" si="1"/>
        <v>1523.51</v>
      </c>
      <c r="D48" s="1">
        <f t="shared" ca="1" si="2"/>
        <v>70.806988882805413</v>
      </c>
      <c r="E48">
        <f t="shared" ca="1" si="3"/>
        <v>665</v>
      </c>
      <c r="F48">
        <f t="shared" ca="1" si="4"/>
        <v>0</v>
      </c>
      <c r="G48" cm="1">
        <f t="array" aca="1" ref="G48" ca="1">SUMPRODUCT(TRANSPOSE($B$4:$B$8),B48:F48)+$B$3</f>
        <v>84959.360222343894</v>
      </c>
    </row>
    <row r="49" spans="1:7" x14ac:dyDescent="0.35">
      <c r="A49">
        <v>39</v>
      </c>
      <c r="B49">
        <f t="shared" ca="1" si="0"/>
        <v>7</v>
      </c>
      <c r="C49">
        <f t="shared" ca="1" si="1"/>
        <v>1863.62</v>
      </c>
      <c r="D49" s="1">
        <f t="shared" ca="1" si="2"/>
        <v>18.168955486281444</v>
      </c>
      <c r="E49">
        <f t="shared" ca="1" si="3"/>
        <v>964</v>
      </c>
      <c r="F49">
        <f t="shared" ca="1" si="4"/>
        <v>1</v>
      </c>
      <c r="G49" cm="1">
        <f t="array" aca="1" ref="G49" ca="1">SUMPRODUCT(TRANSPOSE($B$4:$B$8),B49:F49)+$B$3</f>
        <v>103617.62089027437</v>
      </c>
    </row>
    <row r="50" spans="1:7" x14ac:dyDescent="0.35">
      <c r="A50">
        <v>40</v>
      </c>
      <c r="B50">
        <f t="shared" ca="1" si="0"/>
        <v>8</v>
      </c>
      <c r="C50">
        <f t="shared" ca="1" si="1"/>
        <v>1698.57</v>
      </c>
      <c r="D50" s="1">
        <f t="shared" ca="1" si="2"/>
        <v>31.117231578712421</v>
      </c>
      <c r="E50">
        <f t="shared" ca="1" si="3"/>
        <v>1061</v>
      </c>
      <c r="F50">
        <f t="shared" ca="1" si="4"/>
        <v>0</v>
      </c>
      <c r="G50" cm="1">
        <f t="array" aca="1" ref="G50" ca="1">SUMPRODUCT(TRANSPOSE($B$4:$B$8),B50:F50)+$B$3</f>
        <v>95106.155368425752</v>
      </c>
    </row>
    <row r="51" spans="1:7" x14ac:dyDescent="0.35">
      <c r="A51">
        <v>41</v>
      </c>
      <c r="B51">
        <f t="shared" ca="1" si="0"/>
        <v>2</v>
      </c>
      <c r="C51">
        <f t="shared" ca="1" si="1"/>
        <v>1213.5899999999999</v>
      </c>
      <c r="D51" s="1">
        <f t="shared" ca="1" si="2"/>
        <v>85.357818749331614</v>
      </c>
      <c r="E51">
        <f t="shared" ca="1" si="3"/>
        <v>837</v>
      </c>
      <c r="F51">
        <f t="shared" ca="1" si="4"/>
        <v>1</v>
      </c>
      <c r="G51" cm="1">
        <f t="array" aca="1" ref="G51" ca="1">SUMPRODUCT(TRANSPOSE($B$4:$B$8),B51:F51)+$B$3</f>
        <v>69272.343625013367</v>
      </c>
    </row>
    <row r="52" spans="1:7" x14ac:dyDescent="0.35">
      <c r="A52">
        <v>42</v>
      </c>
      <c r="B52">
        <f t="shared" ca="1" si="0"/>
        <v>2</v>
      </c>
      <c r="C52">
        <f t="shared" ca="1" si="1"/>
        <v>1761.29</v>
      </c>
      <c r="D52" s="1">
        <f t="shared" ca="1" si="2"/>
        <v>54.786905185206898</v>
      </c>
      <c r="E52">
        <f t="shared" ca="1" si="3"/>
        <v>697</v>
      </c>
      <c r="F52">
        <f t="shared" ca="1" si="4"/>
        <v>1</v>
      </c>
      <c r="G52" cm="1">
        <f t="array" aca="1" ref="G52" ca="1">SUMPRODUCT(TRANSPOSE($B$4:$B$8),B52:F52)+$B$3</f>
        <v>97268.761896295866</v>
      </c>
    </row>
    <row r="53" spans="1:7" x14ac:dyDescent="0.35">
      <c r="A53">
        <v>43</v>
      </c>
      <c r="B53">
        <f t="shared" ca="1" si="0"/>
        <v>3</v>
      </c>
      <c r="C53">
        <f t="shared" ca="1" si="1"/>
        <v>1625.91</v>
      </c>
      <c r="D53" s="1">
        <f t="shared" ca="1" si="2"/>
        <v>50.798018885227506</v>
      </c>
      <c r="E53">
        <f t="shared" ca="1" si="3"/>
        <v>695</v>
      </c>
      <c r="F53">
        <f t="shared" ca="1" si="4"/>
        <v>1</v>
      </c>
      <c r="G53" cm="1">
        <f t="array" aca="1" ref="G53" ca="1">SUMPRODUCT(TRANSPOSE($B$4:$B$8),B53:F53)+$B$3</f>
        <v>90679.539622295444</v>
      </c>
    </row>
    <row r="54" spans="1:7" x14ac:dyDescent="0.35">
      <c r="A54">
        <v>44</v>
      </c>
      <c r="B54">
        <f t="shared" ca="1" si="0"/>
        <v>9</v>
      </c>
      <c r="C54">
        <f t="shared" ca="1" si="1"/>
        <v>1807.88</v>
      </c>
      <c r="D54" s="1">
        <f t="shared" ca="1" si="2"/>
        <v>75.332011891366008</v>
      </c>
      <c r="E54">
        <f t="shared" ca="1" si="3"/>
        <v>651</v>
      </c>
      <c r="F54">
        <f t="shared" ca="1" si="4"/>
        <v>0</v>
      </c>
      <c r="G54" cm="1">
        <f t="array" aca="1" ref="G54" ca="1">SUMPRODUCT(TRANSPOSE($B$4:$B$8),B54:F54)+$B$3</f>
        <v>99787.35976217268</v>
      </c>
    </row>
    <row r="55" spans="1:7" x14ac:dyDescent="0.35">
      <c r="A55">
        <v>45</v>
      </c>
      <c r="B55">
        <f t="shared" ca="1" si="0"/>
        <v>9</v>
      </c>
      <c r="C55">
        <f t="shared" ca="1" si="1"/>
        <v>1024.2</v>
      </c>
      <c r="D55" s="1">
        <f t="shared" ca="1" si="2"/>
        <v>38.858840787932522</v>
      </c>
      <c r="E55">
        <f t="shared" ca="1" si="3"/>
        <v>809</v>
      </c>
      <c r="F55">
        <f t="shared" ca="1" si="4"/>
        <v>0</v>
      </c>
      <c r="G55" cm="1">
        <f t="array" aca="1" ref="G55" ca="1">SUMPRODUCT(TRANSPOSE($B$4:$B$8),B55:F55)+$B$3</f>
        <v>61332.823184241352</v>
      </c>
    </row>
    <row r="56" spans="1:7" x14ac:dyDescent="0.35">
      <c r="A56">
        <v>46</v>
      </c>
      <c r="B56">
        <f t="shared" ca="1" si="0"/>
        <v>5</v>
      </c>
      <c r="C56">
        <f t="shared" ca="1" si="1"/>
        <v>1403.34</v>
      </c>
      <c r="D56" s="1">
        <f t="shared" ca="1" si="2"/>
        <v>45.656896143249945</v>
      </c>
      <c r="E56">
        <f t="shared" ca="1" si="3"/>
        <v>534</v>
      </c>
      <c r="F56">
        <f t="shared" ca="1" si="4"/>
        <v>0</v>
      </c>
      <c r="G56" cm="1">
        <f t="array" aca="1" ref="G56" ca="1">SUMPRODUCT(TRANSPOSE($B$4:$B$8),B56:F56)+$B$3</f>
        <v>79753.862077134996</v>
      </c>
    </row>
    <row r="57" spans="1:7" x14ac:dyDescent="0.35">
      <c r="A57">
        <v>47</v>
      </c>
      <c r="B57">
        <f t="shared" ca="1" si="0"/>
        <v>6</v>
      </c>
      <c r="C57">
        <f t="shared" ca="1" si="1"/>
        <v>1088.43</v>
      </c>
      <c r="D57" s="1">
        <f t="shared" ca="1" si="2"/>
        <v>51.315967184750356</v>
      </c>
      <c r="E57">
        <f t="shared" ca="1" si="3"/>
        <v>961</v>
      </c>
      <c r="F57">
        <f t="shared" ca="1" si="4"/>
        <v>0</v>
      </c>
      <c r="G57" cm="1">
        <f t="array" aca="1" ref="G57" ca="1">SUMPRODUCT(TRANSPOSE($B$4:$B$8),B57:F57)+$B$3</f>
        <v>63995.18065630499</v>
      </c>
    </row>
    <row r="58" spans="1:7" x14ac:dyDescent="0.35">
      <c r="A58">
        <v>48</v>
      </c>
      <c r="B58">
        <f t="shared" ca="1" si="0"/>
        <v>3</v>
      </c>
      <c r="C58">
        <f t="shared" ca="1" si="1"/>
        <v>1898.77</v>
      </c>
      <c r="D58" s="1">
        <f t="shared" ca="1" si="2"/>
        <v>64.078742332637546</v>
      </c>
      <c r="E58">
        <f t="shared" ca="1" si="3"/>
        <v>657</v>
      </c>
      <c r="F58">
        <f t="shared" ca="1" si="4"/>
        <v>1</v>
      </c>
      <c r="G58" cm="1">
        <f t="array" aca="1" ref="G58" ca="1">SUMPRODUCT(TRANSPOSE($B$4:$B$8),B58:F58)+$B$3</f>
        <v>104056.92515334726</v>
      </c>
    </row>
    <row r="59" spans="1:7" x14ac:dyDescent="0.35">
      <c r="A59">
        <v>49</v>
      </c>
      <c r="B59">
        <f t="shared" ca="1" si="0"/>
        <v>10</v>
      </c>
      <c r="C59">
        <f t="shared" ca="1" si="1"/>
        <v>1235.69</v>
      </c>
      <c r="D59" s="1">
        <f t="shared" ca="1" si="2"/>
        <v>25.631555564186304</v>
      </c>
      <c r="E59">
        <f t="shared" ca="1" si="3"/>
        <v>641</v>
      </c>
      <c r="F59">
        <f t="shared" ca="1" si="4"/>
        <v>1</v>
      </c>
      <c r="G59" cm="1">
        <f t="array" aca="1" ref="G59" ca="1">SUMPRODUCT(TRANSPOSE($B$4:$B$8),B59:F59)+$B$3</f>
        <v>72371.868888716272</v>
      </c>
    </row>
    <row r="60" spans="1:7" x14ac:dyDescent="0.35">
      <c r="A60">
        <v>50</v>
      </c>
      <c r="B60">
        <f t="shared" ca="1" si="0"/>
        <v>2</v>
      </c>
      <c r="C60">
        <f t="shared" ca="1" si="1"/>
        <v>1690.16</v>
      </c>
      <c r="D60" s="1">
        <f t="shared" ca="1" si="2"/>
        <v>41.46360212470978</v>
      </c>
      <c r="E60">
        <f t="shared" ca="1" si="3"/>
        <v>619</v>
      </c>
      <c r="F60">
        <f t="shared" ca="1" si="4"/>
        <v>0</v>
      </c>
      <c r="G60" cm="1">
        <f t="array" aca="1" ref="G60" ca="1">SUMPRODUCT(TRANSPOSE($B$4:$B$8),B60:F60)+$B$3</f>
        <v>93878.727957505806</v>
      </c>
    </row>
    <row r="61" spans="1:7" x14ac:dyDescent="0.35">
      <c r="A61">
        <v>51</v>
      </c>
      <c r="B61">
        <f t="shared" ca="1" si="0"/>
        <v>5</v>
      </c>
      <c r="C61">
        <f t="shared" ca="1" si="1"/>
        <v>1704.71</v>
      </c>
      <c r="D61" s="1">
        <f t="shared" ca="1" si="2"/>
        <v>63.464137089715209</v>
      </c>
      <c r="E61">
        <f t="shared" ca="1" si="3"/>
        <v>700</v>
      </c>
      <c r="F61">
        <f t="shared" ca="1" si="4"/>
        <v>0</v>
      </c>
      <c r="G61" cm="1">
        <f t="array" aca="1" ref="G61" ca="1">SUMPRODUCT(TRANSPOSE($B$4:$B$8),B61:F61)+$B$3</f>
        <v>94466.217258205696</v>
      </c>
    </row>
    <row r="62" spans="1:7" x14ac:dyDescent="0.35">
      <c r="A62">
        <v>52</v>
      </c>
      <c r="B62">
        <f t="shared" ca="1" si="0"/>
        <v>9</v>
      </c>
      <c r="C62">
        <f t="shared" ca="1" si="1"/>
        <v>1919.14</v>
      </c>
      <c r="D62" s="1">
        <f t="shared" ca="1" si="2"/>
        <v>45.242380075216694</v>
      </c>
      <c r="E62">
        <f t="shared" ca="1" si="3"/>
        <v>658</v>
      </c>
      <c r="F62">
        <f t="shared" ca="1" si="4"/>
        <v>0</v>
      </c>
      <c r="G62" cm="1">
        <f t="array" aca="1" ref="G62" ca="1">SUMPRODUCT(TRANSPOSE($B$4:$B$8),B62:F62)+$B$3</f>
        <v>105952.15239849567</v>
      </c>
    </row>
    <row r="63" spans="1:7" x14ac:dyDescent="0.35">
      <c r="A63">
        <v>53</v>
      </c>
      <c r="B63">
        <f t="shared" ca="1" si="0"/>
        <v>9</v>
      </c>
      <c r="C63">
        <f t="shared" ca="1" si="1"/>
        <v>1210.44</v>
      </c>
      <c r="D63" s="1">
        <f t="shared" ca="1" si="2"/>
        <v>27.861000760951484</v>
      </c>
      <c r="E63">
        <f t="shared" ca="1" si="3"/>
        <v>845</v>
      </c>
      <c r="F63">
        <f t="shared" ca="1" si="4"/>
        <v>1</v>
      </c>
      <c r="G63" cm="1">
        <f t="array" aca="1" ref="G63" ca="1">SUMPRODUCT(TRANSPOSE($B$4:$B$8),B63:F63)+$B$3</f>
        <v>70964.779984780966</v>
      </c>
    </row>
    <row r="64" spans="1:7" x14ac:dyDescent="0.35">
      <c r="A64">
        <v>54</v>
      </c>
      <c r="B64">
        <f t="shared" ca="1" si="0"/>
        <v>8</v>
      </c>
      <c r="C64">
        <f t="shared" ca="1" si="1"/>
        <v>1591.22</v>
      </c>
      <c r="D64" s="1">
        <f t="shared" ca="1" si="2"/>
        <v>20.985695437725592</v>
      </c>
      <c r="E64">
        <f t="shared" ca="1" si="3"/>
        <v>588</v>
      </c>
      <c r="F64">
        <f t="shared" ca="1" si="4"/>
        <v>1</v>
      </c>
      <c r="G64" cm="1">
        <f t="array" aca="1" ref="G64" ca="1">SUMPRODUCT(TRANSPOSE($B$4:$B$8),B64:F64)+$B$3</f>
        <v>90041.286091245493</v>
      </c>
    </row>
    <row r="65" spans="1:7" x14ac:dyDescent="0.35">
      <c r="A65">
        <v>55</v>
      </c>
      <c r="B65">
        <f t="shared" ca="1" si="0"/>
        <v>9</v>
      </c>
      <c r="C65">
        <f t="shared" ca="1" si="1"/>
        <v>1232.93</v>
      </c>
      <c r="D65" s="1">
        <f t="shared" ca="1" si="2"/>
        <v>33.783202316779914</v>
      </c>
      <c r="E65">
        <f t="shared" ca="1" si="3"/>
        <v>590</v>
      </c>
      <c r="F65">
        <f t="shared" ca="1" si="4"/>
        <v>1</v>
      </c>
      <c r="G65" cm="1">
        <f t="array" aca="1" ref="G65" ca="1">SUMPRODUCT(TRANSPOSE($B$4:$B$8),B65:F65)+$B$3</f>
        <v>71970.835953664398</v>
      </c>
    </row>
    <row r="66" spans="1:7" x14ac:dyDescent="0.35">
      <c r="A66">
        <v>56</v>
      </c>
      <c r="B66">
        <f t="shared" ca="1" si="0"/>
        <v>4</v>
      </c>
      <c r="C66">
        <f t="shared" ca="1" si="1"/>
        <v>1509.78</v>
      </c>
      <c r="D66" s="1">
        <f t="shared" ca="1" si="2"/>
        <v>90.78963055625816</v>
      </c>
      <c r="E66">
        <f t="shared" ca="1" si="3"/>
        <v>674</v>
      </c>
      <c r="F66">
        <f t="shared" ca="1" si="4"/>
        <v>1</v>
      </c>
      <c r="G66" cm="1">
        <f t="array" aca="1" ref="G66" ca="1">SUMPRODUCT(TRANSPOSE($B$4:$B$8),B66:F66)+$B$3</f>
        <v>84173.207388874842</v>
      </c>
    </row>
    <row r="67" spans="1:7" x14ac:dyDescent="0.35">
      <c r="A67">
        <v>57</v>
      </c>
      <c r="B67">
        <f t="shared" ca="1" si="0"/>
        <v>10</v>
      </c>
      <c r="C67">
        <f t="shared" ca="1" si="1"/>
        <v>1698.45</v>
      </c>
      <c r="D67" s="1">
        <f t="shared" ca="1" si="2"/>
        <v>23.036531197353455</v>
      </c>
      <c r="E67">
        <f t="shared" ca="1" si="3"/>
        <v>644</v>
      </c>
      <c r="F67">
        <f t="shared" ca="1" si="4"/>
        <v>0</v>
      </c>
      <c r="G67" cm="1">
        <f t="array" aca="1" ref="G67" ca="1">SUMPRODUCT(TRANSPOSE($B$4:$B$8),B67:F67)+$B$3</f>
        <v>95461.769376052936</v>
      </c>
    </row>
    <row r="68" spans="1:7" x14ac:dyDescent="0.35">
      <c r="A68">
        <v>58</v>
      </c>
      <c r="B68">
        <f t="shared" ca="1" si="0"/>
        <v>8</v>
      </c>
      <c r="C68">
        <f t="shared" ca="1" si="1"/>
        <v>1383.16</v>
      </c>
      <c r="D68" s="1">
        <f t="shared" ca="1" si="2"/>
        <v>36.224272418835952</v>
      </c>
      <c r="E68">
        <f t="shared" ca="1" si="3"/>
        <v>862</v>
      </c>
      <c r="F68">
        <f t="shared" ca="1" si="4"/>
        <v>0</v>
      </c>
      <c r="G68" cm="1">
        <f t="array" aca="1" ref="G68" ca="1">SUMPRODUCT(TRANSPOSE($B$4:$B$8),B68:F68)+$B$3</f>
        <v>79233.514551623288</v>
      </c>
    </row>
    <row r="69" spans="1:7" x14ac:dyDescent="0.35">
      <c r="A69">
        <v>59</v>
      </c>
      <c r="B69">
        <f t="shared" ca="1" si="0"/>
        <v>10</v>
      </c>
      <c r="C69">
        <f t="shared" ca="1" si="1"/>
        <v>1931.51</v>
      </c>
      <c r="D69" s="1">
        <f t="shared" ca="1" si="2"/>
        <v>55.45466185132139</v>
      </c>
      <c r="E69">
        <f t="shared" ca="1" si="3"/>
        <v>1062</v>
      </c>
      <c r="F69">
        <f t="shared" ca="1" si="4"/>
        <v>1</v>
      </c>
      <c r="G69" cm="1">
        <f t="array" aca="1" ref="G69" ca="1">SUMPRODUCT(TRANSPOSE($B$4:$B$8),B69:F69)+$B$3</f>
        <v>106566.40676297357</v>
      </c>
    </row>
    <row r="70" spans="1:7" x14ac:dyDescent="0.35">
      <c r="A70">
        <v>60</v>
      </c>
      <c r="B70">
        <f t="shared" ca="1" si="0"/>
        <v>6</v>
      </c>
      <c r="C70">
        <f t="shared" ca="1" si="1"/>
        <v>1666.71</v>
      </c>
      <c r="D70" s="1">
        <f t="shared" ca="1" si="2"/>
        <v>55.95943400725897</v>
      </c>
      <c r="E70">
        <f t="shared" ca="1" si="3"/>
        <v>964</v>
      </c>
      <c r="F70">
        <f t="shared" ca="1" si="4"/>
        <v>0</v>
      </c>
      <c r="G70" cm="1">
        <f t="array" aca="1" ref="G70" ca="1">SUMPRODUCT(TRANSPOSE($B$4:$B$8),B70:F70)+$B$3</f>
        <v>92816.311319854824</v>
      </c>
    </row>
    <row r="71" spans="1:7" x14ac:dyDescent="0.35">
      <c r="A71">
        <v>61</v>
      </c>
      <c r="B71">
        <f t="shared" ca="1" si="0"/>
        <v>5</v>
      </c>
      <c r="C71">
        <f t="shared" ca="1" si="1"/>
        <v>1281.57</v>
      </c>
      <c r="D71" s="1">
        <f t="shared" ca="1" si="2"/>
        <v>34.914538141041227</v>
      </c>
      <c r="E71">
        <f t="shared" ca="1" si="3"/>
        <v>667</v>
      </c>
      <c r="F71">
        <f t="shared" ca="1" si="4"/>
        <v>1</v>
      </c>
      <c r="G71" cm="1">
        <f t="array" aca="1" ref="G71" ca="1">SUMPRODUCT(TRANSPOSE($B$4:$B$8),B71:F71)+$B$3</f>
        <v>73980.209237179166</v>
      </c>
    </row>
    <row r="72" spans="1:7" x14ac:dyDescent="0.35">
      <c r="A72">
        <v>62</v>
      </c>
      <c r="B72">
        <f t="shared" ca="1" si="0"/>
        <v>5</v>
      </c>
      <c r="C72">
        <f t="shared" ca="1" si="1"/>
        <v>1782.07</v>
      </c>
      <c r="D72" s="1">
        <f t="shared" ca="1" si="2"/>
        <v>74.201874687006921</v>
      </c>
      <c r="E72">
        <f t="shared" ca="1" si="3"/>
        <v>676</v>
      </c>
      <c r="F72">
        <f t="shared" ca="1" si="4"/>
        <v>1</v>
      </c>
      <c r="G72" cm="1">
        <f t="array" aca="1" ref="G72" ca="1">SUMPRODUCT(TRANSPOSE($B$4:$B$8),B72:F72)+$B$3</f>
        <v>98219.462506259864</v>
      </c>
    </row>
    <row r="73" spans="1:7" x14ac:dyDescent="0.35">
      <c r="A73">
        <v>63</v>
      </c>
      <c r="B73">
        <f t="shared" ca="1" si="0"/>
        <v>4</v>
      </c>
      <c r="C73">
        <f t="shared" ca="1" si="1"/>
        <v>1103.72</v>
      </c>
      <c r="D73" s="1">
        <f t="shared" ca="1" si="2"/>
        <v>31.752874494315837</v>
      </c>
      <c r="E73">
        <f t="shared" ca="1" si="3"/>
        <v>533</v>
      </c>
      <c r="F73">
        <f t="shared" ca="1" si="4"/>
        <v>1</v>
      </c>
      <c r="G73" cm="1">
        <f t="array" aca="1" ref="G73" ca="1">SUMPRODUCT(TRANSPOSE($B$4:$B$8),B73:F73)+$B$3</f>
        <v>65050.94251011368</v>
      </c>
    </row>
    <row r="74" spans="1:7" x14ac:dyDescent="0.35">
      <c r="A74">
        <v>64</v>
      </c>
      <c r="B74">
        <f t="shared" ca="1" si="0"/>
        <v>7</v>
      </c>
      <c r="C74">
        <f t="shared" ca="1" si="1"/>
        <v>1232.82</v>
      </c>
      <c r="D74" s="1">
        <f t="shared" ca="1" si="2"/>
        <v>37.049867446933284</v>
      </c>
      <c r="E74">
        <f t="shared" ca="1" si="3"/>
        <v>781</v>
      </c>
      <c r="F74">
        <f t="shared" ca="1" si="4"/>
        <v>1</v>
      </c>
      <c r="G74" cm="1">
        <f t="array" aca="1" ref="G74" ca="1">SUMPRODUCT(TRANSPOSE($B$4:$B$8),B74:F74)+$B$3</f>
        <v>71700.002651061339</v>
      </c>
    </row>
    <row r="75" spans="1:7" x14ac:dyDescent="0.35">
      <c r="A75">
        <v>65</v>
      </c>
      <c r="B75">
        <f t="shared" ca="1" si="0"/>
        <v>10</v>
      </c>
      <c r="C75">
        <f t="shared" ca="1" si="1"/>
        <v>1170.73</v>
      </c>
      <c r="D75" s="1">
        <f t="shared" ca="1" si="2"/>
        <v>66.996678072735634</v>
      </c>
      <c r="E75">
        <f t="shared" ca="1" si="3"/>
        <v>844</v>
      </c>
      <c r="F75">
        <f t="shared" ca="1" si="4"/>
        <v>1</v>
      </c>
      <c r="G75" cm="1">
        <f t="array" aca="1" ref="G75" ca="1">SUMPRODUCT(TRANSPOSE($B$4:$B$8),B75:F75)+$B$3</f>
        <v>68296.566438545284</v>
      </c>
    </row>
    <row r="76" spans="1:7" x14ac:dyDescent="0.35">
      <c r="A76">
        <v>66</v>
      </c>
      <c r="B76">
        <f t="shared" ca="1" si="0"/>
        <v>7</v>
      </c>
      <c r="C76">
        <f t="shared" ca="1" si="1"/>
        <v>1416.11</v>
      </c>
      <c r="D76" s="1">
        <f t="shared" ca="1" si="2"/>
        <v>45.829497276512349</v>
      </c>
      <c r="E76">
        <f t="shared" ca="1" si="3"/>
        <v>568</v>
      </c>
      <c r="F76">
        <f t="shared" ca="1" si="4"/>
        <v>1</v>
      </c>
      <c r="G76" cm="1">
        <f t="array" aca="1" ref="G76" ca="1">SUMPRODUCT(TRANSPOSE($B$4:$B$8),B76:F76)+$B$3</f>
        <v>80688.910054469758</v>
      </c>
    </row>
    <row r="77" spans="1:7" x14ac:dyDescent="0.35">
      <c r="A77">
        <v>67</v>
      </c>
      <c r="B77">
        <f t="shared" ca="1" si="0"/>
        <v>4</v>
      </c>
      <c r="C77">
        <f t="shared" ca="1" si="1"/>
        <v>1619.41</v>
      </c>
      <c r="D77" s="1">
        <f t="shared" ca="1" si="2"/>
        <v>55.618975573218485</v>
      </c>
      <c r="E77">
        <f t="shared" ca="1" si="3"/>
        <v>946</v>
      </c>
      <c r="F77">
        <f t="shared" ca="1" si="4"/>
        <v>1</v>
      </c>
      <c r="G77" cm="1">
        <f t="array" aca="1" ref="G77" ca="1">SUMPRODUCT(TRANSPOSE($B$4:$B$8),B77:F77)+$B$3</f>
        <v>90358.120488535627</v>
      </c>
    </row>
    <row r="78" spans="1:7" x14ac:dyDescent="0.35">
      <c r="A78">
        <v>68</v>
      </c>
      <c r="B78">
        <f t="shared" ca="1" si="0"/>
        <v>2</v>
      </c>
      <c r="C78">
        <f t="shared" ca="1" si="1"/>
        <v>1754.88</v>
      </c>
      <c r="D78" s="1">
        <f t="shared" ca="1" si="2"/>
        <v>80.986779051966721</v>
      </c>
      <c r="E78">
        <f t="shared" ca="1" si="3"/>
        <v>649</v>
      </c>
      <c r="F78">
        <f t="shared" ca="1" si="4"/>
        <v>0</v>
      </c>
      <c r="G78" cm="1">
        <f t="array" aca="1" ref="G78" ca="1">SUMPRODUCT(TRANSPOSE($B$4:$B$8),B78:F78)+$B$3</f>
        <v>96324.264418960665</v>
      </c>
    </row>
    <row r="79" spans="1:7" x14ac:dyDescent="0.35">
      <c r="A79">
        <v>69</v>
      </c>
      <c r="B79">
        <f t="shared" ca="1" si="0"/>
        <v>6</v>
      </c>
      <c r="C79">
        <f t="shared" ca="1" si="1"/>
        <v>1350.14</v>
      </c>
      <c r="D79" s="1">
        <f t="shared" ca="1" si="2"/>
        <v>62.871689767749082</v>
      </c>
      <c r="E79">
        <f t="shared" ca="1" si="3"/>
        <v>710</v>
      </c>
      <c r="F79">
        <f t="shared" ca="1" si="4"/>
        <v>0</v>
      </c>
      <c r="G79" cm="1">
        <f t="array" aca="1" ref="G79" ca="1">SUMPRODUCT(TRANSPOSE($B$4:$B$8),B79:F79)+$B$3</f>
        <v>76849.566204645016</v>
      </c>
    </row>
    <row r="80" spans="1:7" x14ac:dyDescent="0.35">
      <c r="A80">
        <v>70</v>
      </c>
      <c r="B80">
        <f t="shared" ca="1" si="0"/>
        <v>6</v>
      </c>
      <c r="C80">
        <f t="shared" ca="1" si="1"/>
        <v>1708.77</v>
      </c>
      <c r="D80" s="1">
        <f t="shared" ca="1" si="2"/>
        <v>26.062614833505897</v>
      </c>
      <c r="E80">
        <f t="shared" ca="1" si="3"/>
        <v>628</v>
      </c>
      <c r="F80">
        <f t="shared" ca="1" si="4"/>
        <v>1</v>
      </c>
      <c r="G80" cm="1">
        <f t="array" aca="1" ref="G80" ca="1">SUMPRODUCT(TRANSPOSE($B$4:$B$8),B80:F80)+$B$3</f>
        <v>95617.247703329878</v>
      </c>
    </row>
    <row r="81" spans="1:7" x14ac:dyDescent="0.35">
      <c r="A81">
        <v>71</v>
      </c>
      <c r="B81">
        <f t="shared" ca="1" si="0"/>
        <v>5</v>
      </c>
      <c r="C81">
        <f t="shared" ca="1" si="1"/>
        <v>1640.29</v>
      </c>
      <c r="D81" s="1">
        <f t="shared" ca="1" si="2"/>
        <v>24.95098957902734</v>
      </c>
      <c r="E81">
        <f t="shared" ca="1" si="3"/>
        <v>923</v>
      </c>
      <c r="F81">
        <f t="shared" ca="1" si="4"/>
        <v>0</v>
      </c>
      <c r="G81" cm="1">
        <f t="array" aca="1" ref="G81" ca="1">SUMPRODUCT(TRANSPOSE($B$4:$B$8),B81:F81)+$B$3</f>
        <v>92015.480208419453</v>
      </c>
    </row>
    <row r="82" spans="1:7" x14ac:dyDescent="0.35">
      <c r="A82">
        <v>72</v>
      </c>
      <c r="B82">
        <f t="shared" ca="1" si="0"/>
        <v>3</v>
      </c>
      <c r="C82">
        <f t="shared" ca="1" si="1"/>
        <v>1788.49</v>
      </c>
      <c r="D82" s="1">
        <f t="shared" ca="1" si="2"/>
        <v>46.617110832462224</v>
      </c>
      <c r="E82">
        <f t="shared" ca="1" si="3"/>
        <v>736</v>
      </c>
      <c r="F82">
        <f t="shared" ca="1" si="4"/>
        <v>0</v>
      </c>
      <c r="G82" cm="1">
        <f t="array" aca="1" ref="G82" ca="1">SUMPRODUCT(TRANSPOSE($B$4:$B$8),B82:F82)+$B$3</f>
        <v>98792.157783350762</v>
      </c>
    </row>
    <row r="83" spans="1:7" x14ac:dyDescent="0.35">
      <c r="A83">
        <v>73</v>
      </c>
      <c r="B83">
        <f t="shared" ca="1" si="0"/>
        <v>8</v>
      </c>
      <c r="C83">
        <f t="shared" ca="1" si="1"/>
        <v>1506.61</v>
      </c>
      <c r="D83" s="1">
        <f t="shared" ca="1" si="2"/>
        <v>82.027037443484687</v>
      </c>
      <c r="E83">
        <f t="shared" ca="1" si="3"/>
        <v>1010</v>
      </c>
      <c r="F83">
        <f t="shared" ca="1" si="4"/>
        <v>0</v>
      </c>
      <c r="G83" cm="1">
        <f t="array" aca="1" ref="G83" ca="1">SUMPRODUCT(TRANSPOSE($B$4:$B$8),B83:F83)+$B$3</f>
        <v>84489.959251130305</v>
      </c>
    </row>
    <row r="84" spans="1:7" x14ac:dyDescent="0.35">
      <c r="A84">
        <v>74</v>
      </c>
      <c r="B84">
        <f t="shared" ca="1" si="0"/>
        <v>8</v>
      </c>
      <c r="C84">
        <f t="shared" ca="1" si="1"/>
        <v>1282.69</v>
      </c>
      <c r="D84" s="1">
        <f t="shared" ca="1" si="2"/>
        <v>6.5743070200388303</v>
      </c>
      <c r="E84">
        <f t="shared" ca="1" si="3"/>
        <v>1050</v>
      </c>
      <c r="F84">
        <f t="shared" ca="1" si="4"/>
        <v>1</v>
      </c>
      <c r="G84" cm="1">
        <f t="array" aca="1" ref="G84" ca="1">SUMPRODUCT(TRANSPOSE($B$4:$B$8),B84:F84)+$B$3</f>
        <v>74903.013859599218</v>
      </c>
    </row>
    <row r="85" spans="1:7" x14ac:dyDescent="0.35">
      <c r="A85">
        <v>75</v>
      </c>
      <c r="B85">
        <f t="shared" ca="1" si="0"/>
        <v>10</v>
      </c>
      <c r="C85">
        <f t="shared" ca="1" si="1"/>
        <v>1296.6600000000001</v>
      </c>
      <c r="D85" s="1">
        <f t="shared" ca="1" si="2"/>
        <v>50.408878683755226</v>
      </c>
      <c r="E85">
        <f t="shared" ca="1" si="3"/>
        <v>834</v>
      </c>
      <c r="F85">
        <f t="shared" ca="1" si="4"/>
        <v>1</v>
      </c>
      <c r="G85" cm="1">
        <f t="array" aca="1" ref="G85" ca="1">SUMPRODUCT(TRANSPOSE($B$4:$B$8),B85:F85)+$B$3</f>
        <v>74924.822426324885</v>
      </c>
    </row>
    <row r="86" spans="1:7" x14ac:dyDescent="0.35">
      <c r="A86">
        <v>76</v>
      </c>
      <c r="B86">
        <f t="shared" ca="1" si="0"/>
        <v>2</v>
      </c>
      <c r="C86">
        <f t="shared" ca="1" si="1"/>
        <v>1617.85</v>
      </c>
      <c r="D86" s="1">
        <f t="shared" ca="1" si="2"/>
        <v>53.039642193819056</v>
      </c>
      <c r="E86">
        <f t="shared" ca="1" si="3"/>
        <v>757</v>
      </c>
      <c r="F86">
        <f t="shared" ca="1" si="4"/>
        <v>1</v>
      </c>
      <c r="G86" cm="1">
        <f t="array" aca="1" ref="G86" ca="1">SUMPRODUCT(TRANSPOSE($B$4:$B$8),B86:F86)+$B$3</f>
        <v>90131.707156123623</v>
      </c>
    </row>
    <row r="87" spans="1:7" x14ac:dyDescent="0.35">
      <c r="A87">
        <v>77</v>
      </c>
      <c r="B87">
        <f t="shared" ca="1" si="0"/>
        <v>5</v>
      </c>
      <c r="C87">
        <f t="shared" ca="1" si="1"/>
        <v>1242.57</v>
      </c>
      <c r="D87" s="1">
        <f t="shared" ca="1" si="2"/>
        <v>28.172432118326668</v>
      </c>
      <c r="E87">
        <f t="shared" ca="1" si="3"/>
        <v>937</v>
      </c>
      <c r="F87">
        <f t="shared" ca="1" si="4"/>
        <v>0</v>
      </c>
      <c r="G87" cm="1">
        <f t="array" aca="1" ref="G87" ca="1">SUMPRODUCT(TRANSPOSE($B$4:$B$8),B87:F87)+$B$3</f>
        <v>72065.051357633463</v>
      </c>
    </row>
    <row r="88" spans="1:7" x14ac:dyDescent="0.35">
      <c r="A88">
        <v>78</v>
      </c>
      <c r="B88">
        <f t="shared" ca="1" si="0"/>
        <v>2</v>
      </c>
      <c r="C88">
        <f t="shared" ca="1" si="1"/>
        <v>1221.73</v>
      </c>
      <c r="D88" s="1">
        <f t="shared" ca="1" si="2"/>
        <v>42.016778554029145</v>
      </c>
      <c r="E88">
        <f t="shared" ca="1" si="3"/>
        <v>603</v>
      </c>
      <c r="F88">
        <f t="shared" ca="1" si="4"/>
        <v>1</v>
      </c>
      <c r="G88" cm="1">
        <f t="array" aca="1" ref="G88" ca="1">SUMPRODUCT(TRANSPOSE($B$4:$B$8),B88:F88)+$B$3</f>
        <v>70546.164428919408</v>
      </c>
    </row>
    <row r="89" spans="1:7" x14ac:dyDescent="0.35">
      <c r="A89">
        <v>79</v>
      </c>
      <c r="B89">
        <f t="shared" ca="1" si="0"/>
        <v>9</v>
      </c>
      <c r="C89">
        <f t="shared" ca="1" si="1"/>
        <v>1927.28</v>
      </c>
      <c r="D89" s="1">
        <f t="shared" ca="1" si="2"/>
        <v>57.844486737286637</v>
      </c>
      <c r="E89">
        <f t="shared" ca="1" si="3"/>
        <v>854</v>
      </c>
      <c r="F89">
        <f t="shared" ca="1" si="4"/>
        <v>0</v>
      </c>
      <c r="G89" cm="1">
        <f t="array" aca="1" ref="G89" ca="1">SUMPRODUCT(TRANSPOSE($B$4:$B$8),B89:F89)+$B$3</f>
        <v>106107.11026525426</v>
      </c>
    </row>
    <row r="90" spans="1:7" x14ac:dyDescent="0.35">
      <c r="A90">
        <v>80</v>
      </c>
      <c r="B90">
        <f t="shared" ca="1" si="0"/>
        <v>2</v>
      </c>
      <c r="C90">
        <f t="shared" ca="1" si="1"/>
        <v>1688.62</v>
      </c>
      <c r="D90" s="1">
        <f t="shared" ca="1" si="2"/>
        <v>39.841240902877018</v>
      </c>
      <c r="E90">
        <f t="shared" ca="1" si="3"/>
        <v>729</v>
      </c>
      <c r="F90">
        <f t="shared" ca="1" si="4"/>
        <v>1</v>
      </c>
      <c r="G90" cm="1">
        <f t="array" aca="1" ref="G90" ca="1">SUMPRODUCT(TRANSPOSE($B$4:$B$8),B90:F90)+$B$3</f>
        <v>93934.175181942453</v>
      </c>
    </row>
    <row r="91" spans="1:7" x14ac:dyDescent="0.35">
      <c r="A91">
        <v>81</v>
      </c>
      <c r="B91">
        <f t="shared" ca="1" si="0"/>
        <v>8</v>
      </c>
      <c r="C91">
        <f t="shared" ca="1" si="1"/>
        <v>1624.7</v>
      </c>
      <c r="D91" s="1">
        <f t="shared" ca="1" si="2"/>
        <v>40.15934732364309</v>
      </c>
      <c r="E91">
        <f t="shared" ca="1" si="3"/>
        <v>765</v>
      </c>
      <c r="F91">
        <f t="shared" ca="1" si="4"/>
        <v>1</v>
      </c>
      <c r="G91" cm="1">
        <f t="array" aca="1" ref="G91" ca="1">SUMPRODUCT(TRANSPOSE($B$4:$B$8),B91:F91)+$B$3</f>
        <v>91331.813053527134</v>
      </c>
    </row>
    <row r="92" spans="1:7" x14ac:dyDescent="0.35">
      <c r="A92">
        <v>82</v>
      </c>
      <c r="B92">
        <f t="shared" ca="1" si="0"/>
        <v>2</v>
      </c>
      <c r="C92">
        <f t="shared" ca="1" si="1"/>
        <v>1076.08</v>
      </c>
      <c r="D92" s="1">
        <f t="shared" ca="1" si="2"/>
        <v>64.906405450864952</v>
      </c>
      <c r="E92">
        <f t="shared" ca="1" si="3"/>
        <v>826</v>
      </c>
      <c r="F92">
        <f t="shared" ca="1" si="4"/>
        <v>0</v>
      </c>
      <c r="G92" cm="1">
        <f t="array" aca="1" ref="G92" ca="1">SUMPRODUCT(TRANSPOSE($B$4:$B$8),B92:F92)+$B$3</f>
        <v>62705.8718909827</v>
      </c>
    </row>
    <row r="93" spans="1:7" x14ac:dyDescent="0.35">
      <c r="A93">
        <v>83</v>
      </c>
      <c r="B93">
        <f t="shared" ca="1" si="0"/>
        <v>6</v>
      </c>
      <c r="C93">
        <f t="shared" ca="1" si="1"/>
        <v>1742.72</v>
      </c>
      <c r="D93" s="1">
        <f t="shared" ca="1" si="2"/>
        <v>59.597258618266764</v>
      </c>
      <c r="E93">
        <f t="shared" ca="1" si="3"/>
        <v>825</v>
      </c>
      <c r="F93">
        <f t="shared" ca="1" si="4"/>
        <v>1</v>
      </c>
      <c r="G93" cm="1">
        <f t="array" aca="1" ref="G93" ca="1">SUMPRODUCT(TRANSPOSE($B$4:$B$8),B93:F93)+$B$3</f>
        <v>96644.054827634667</v>
      </c>
    </row>
    <row r="94" spans="1:7" x14ac:dyDescent="0.35">
      <c r="A94">
        <v>84</v>
      </c>
      <c r="B94">
        <f t="shared" ca="1" si="0"/>
        <v>3</v>
      </c>
      <c r="C94">
        <f t="shared" ca="1" si="1"/>
        <v>1269.6199999999999</v>
      </c>
      <c r="D94" s="1">
        <f t="shared" ca="1" si="2"/>
        <v>36.631990962879271</v>
      </c>
      <c r="E94">
        <f t="shared" ca="1" si="3"/>
        <v>840</v>
      </c>
      <c r="F94">
        <f t="shared" ca="1" si="4"/>
        <v>1</v>
      </c>
      <c r="G94" cm="1">
        <f t="array" aca="1" ref="G94" ca="1">SUMPRODUCT(TRANSPOSE($B$4:$B$8),B94:F94)+$B$3</f>
        <v>73148.360180742398</v>
      </c>
    </row>
    <row r="95" spans="1:7" x14ac:dyDescent="0.35">
      <c r="A95">
        <v>85</v>
      </c>
      <c r="B95">
        <f t="shared" ca="1" si="0"/>
        <v>7</v>
      </c>
      <c r="C95">
        <f t="shared" ca="1" si="1"/>
        <v>1345.74</v>
      </c>
      <c r="D95" s="1">
        <f t="shared" ca="1" si="2"/>
        <v>41.332106025058579</v>
      </c>
      <c r="E95">
        <f t="shared" ca="1" si="3"/>
        <v>853</v>
      </c>
      <c r="F95">
        <f t="shared" ca="1" si="4"/>
        <v>0</v>
      </c>
      <c r="G95" cm="1">
        <f t="array" aca="1" ref="G95" ca="1">SUMPRODUCT(TRANSPOSE($B$4:$B$8),B95:F95)+$B$3</f>
        <v>77160.357879498828</v>
      </c>
    </row>
    <row r="96" spans="1:7" x14ac:dyDescent="0.35">
      <c r="A96">
        <v>86</v>
      </c>
      <c r="B96">
        <f t="shared" ca="1" si="0"/>
        <v>9</v>
      </c>
      <c r="C96">
        <f t="shared" ca="1" si="1"/>
        <v>1277.69</v>
      </c>
      <c r="D96" s="1">
        <f t="shared" ca="1" si="2"/>
        <v>47.29594865285015</v>
      </c>
      <c r="E96">
        <f t="shared" ca="1" si="3"/>
        <v>768</v>
      </c>
      <c r="F96">
        <f t="shared" ca="1" si="4"/>
        <v>1</v>
      </c>
      <c r="G96" cm="1">
        <f t="array" aca="1" ref="G96" ca="1">SUMPRODUCT(TRANSPOSE($B$4:$B$8),B96:F96)+$B$3</f>
        <v>73938.581026942993</v>
      </c>
    </row>
    <row r="97" spans="1:7" x14ac:dyDescent="0.35">
      <c r="A97">
        <v>87</v>
      </c>
      <c r="B97">
        <f t="shared" ca="1" si="0"/>
        <v>7</v>
      </c>
      <c r="C97">
        <f t="shared" ca="1" si="1"/>
        <v>1018.87</v>
      </c>
      <c r="D97" s="1">
        <f t="shared" ca="1" si="2"/>
        <v>49.972111854492255</v>
      </c>
      <c r="E97">
        <f t="shared" ca="1" si="3"/>
        <v>571</v>
      </c>
      <c r="F97">
        <f t="shared" ca="1" si="4"/>
        <v>0</v>
      </c>
      <c r="G97" cm="1">
        <f t="array" aca="1" ref="G97" ca="1">SUMPRODUCT(TRANSPOSE($B$4:$B$8),B97:F97)+$B$3</f>
        <v>60644.057762910154</v>
      </c>
    </row>
    <row r="98" spans="1:7" x14ac:dyDescent="0.35">
      <c r="A98">
        <v>88</v>
      </c>
      <c r="B98">
        <f t="shared" ca="1" si="0"/>
        <v>8</v>
      </c>
      <c r="C98">
        <f t="shared" ca="1" si="1"/>
        <v>1429.78</v>
      </c>
      <c r="D98" s="1">
        <f t="shared" ca="1" si="2"/>
        <v>68.9704868191005</v>
      </c>
      <c r="E98">
        <f t="shared" ca="1" si="3"/>
        <v>998</v>
      </c>
      <c r="F98">
        <f t="shared" ca="1" si="4"/>
        <v>0</v>
      </c>
      <c r="G98" cm="1">
        <f t="array" aca="1" ref="G98" ca="1">SUMPRODUCT(TRANSPOSE($B$4:$B$8),B98:F98)+$B$3</f>
        <v>80909.590263617996</v>
      </c>
    </row>
    <row r="99" spans="1:7" x14ac:dyDescent="0.35">
      <c r="A99">
        <v>89</v>
      </c>
      <c r="B99">
        <f t="shared" ca="1" si="0"/>
        <v>4</v>
      </c>
      <c r="C99">
        <f t="shared" ca="1" si="1"/>
        <v>1519.02</v>
      </c>
      <c r="D99" s="1">
        <f t="shared" ca="1" si="2"/>
        <v>42.953715528614623</v>
      </c>
      <c r="E99">
        <f t="shared" ca="1" si="3"/>
        <v>502</v>
      </c>
      <c r="F99">
        <f t="shared" ca="1" si="4"/>
        <v>1</v>
      </c>
      <c r="G99" cm="1">
        <f t="array" aca="1" ref="G99" ca="1">SUMPRODUCT(TRANSPOSE($B$4:$B$8),B99:F99)+$B$3</f>
        <v>85591.925689427706</v>
      </c>
    </row>
    <row r="100" spans="1:7" x14ac:dyDescent="0.35">
      <c r="A100">
        <v>90</v>
      </c>
      <c r="B100">
        <f t="shared" ca="1" si="0"/>
        <v>8</v>
      </c>
      <c r="C100">
        <f t="shared" ca="1" si="1"/>
        <v>1406.95</v>
      </c>
      <c r="D100" s="1">
        <f t="shared" ca="1" si="2"/>
        <v>43.964763128367707</v>
      </c>
      <c r="E100">
        <f t="shared" ca="1" si="3"/>
        <v>774</v>
      </c>
      <c r="F100">
        <f t="shared" ca="1" si="4"/>
        <v>0</v>
      </c>
      <c r="G100" cm="1">
        <f t="array" aca="1" ref="G100" ca="1">SUMPRODUCT(TRANSPOSE($B$4:$B$8),B100:F100)+$B$3</f>
        <v>80268.20473743265</v>
      </c>
    </row>
    <row r="101" spans="1:7" x14ac:dyDescent="0.35">
      <c r="A101">
        <v>91</v>
      </c>
      <c r="B101">
        <f t="shared" ca="1" si="0"/>
        <v>2</v>
      </c>
      <c r="C101">
        <f t="shared" ca="1" si="1"/>
        <v>1239.1400000000001</v>
      </c>
      <c r="D101" s="1">
        <f t="shared" ca="1" si="2"/>
        <v>51.985269883799035</v>
      </c>
      <c r="E101">
        <f t="shared" ca="1" si="3"/>
        <v>590</v>
      </c>
      <c r="F101">
        <f t="shared" ca="1" si="4"/>
        <v>0</v>
      </c>
      <c r="G101" cm="1">
        <f t="array" aca="1" ref="G101" ca="1">SUMPRODUCT(TRANSPOSE($B$4:$B$8),B101:F101)+$B$3</f>
        <v>71117.294602324022</v>
      </c>
    </row>
    <row r="102" spans="1:7" x14ac:dyDescent="0.35">
      <c r="A102">
        <v>92</v>
      </c>
      <c r="B102">
        <f t="shared" ca="1" si="0"/>
        <v>4</v>
      </c>
      <c r="C102">
        <f t="shared" ca="1" si="1"/>
        <v>1607.46</v>
      </c>
      <c r="D102" s="1">
        <f t="shared" ca="1" si="2"/>
        <v>66.847366738300735</v>
      </c>
      <c r="E102">
        <f t="shared" ca="1" si="3"/>
        <v>951</v>
      </c>
      <c r="F102">
        <f t="shared" ca="1" si="4"/>
        <v>1</v>
      </c>
      <c r="G102" cm="1">
        <f t="array" aca="1" ref="G102" ca="1">SUMPRODUCT(TRANSPOSE($B$4:$B$8),B102:F102)+$B$3</f>
        <v>89536.05266523399</v>
      </c>
    </row>
    <row r="103" spans="1:7" x14ac:dyDescent="0.35">
      <c r="A103">
        <v>93</v>
      </c>
      <c r="B103">
        <f t="shared" ca="1" si="0"/>
        <v>8</v>
      </c>
      <c r="C103">
        <f t="shared" ca="1" si="1"/>
        <v>1034.6199999999999</v>
      </c>
      <c r="D103" s="1">
        <f t="shared" ca="1" si="2"/>
        <v>42.94731940167847</v>
      </c>
      <c r="E103">
        <f t="shared" ca="1" si="3"/>
        <v>796</v>
      </c>
      <c r="F103">
        <f t="shared" ca="1" si="4"/>
        <v>1</v>
      </c>
      <c r="G103" cm="1">
        <f t="array" aca="1" ref="G103" ca="1">SUMPRODUCT(TRANSPOSE($B$4:$B$8),B103:F103)+$B$3</f>
        <v>61772.053611966425</v>
      </c>
    </row>
    <row r="104" spans="1:7" x14ac:dyDescent="0.35">
      <c r="A104">
        <v>94</v>
      </c>
      <c r="B104">
        <f t="shared" ca="1" si="0"/>
        <v>5</v>
      </c>
      <c r="C104">
        <f t="shared" ca="1" si="1"/>
        <v>1773.49</v>
      </c>
      <c r="D104" s="1">
        <f t="shared" ca="1" si="2"/>
        <v>29.090475926858296</v>
      </c>
      <c r="E104">
        <f t="shared" ca="1" si="3"/>
        <v>1014</v>
      </c>
      <c r="F104">
        <f t="shared" ca="1" si="4"/>
        <v>1</v>
      </c>
      <c r="G104" cm="1">
        <f t="array" aca="1" ref="G104" ca="1">SUMPRODUCT(TRANSPOSE($B$4:$B$8),B104:F104)+$B$3</f>
        <v>98692.690481462836</v>
      </c>
    </row>
    <row r="105" spans="1:7" x14ac:dyDescent="0.35">
      <c r="A105">
        <v>95</v>
      </c>
      <c r="B105">
        <f t="shared" ca="1" si="0"/>
        <v>9</v>
      </c>
      <c r="C105">
        <f t="shared" ca="1" si="1"/>
        <v>1069.82</v>
      </c>
      <c r="D105" s="1">
        <f t="shared" ca="1" si="2"/>
        <v>98.343123787981597</v>
      </c>
      <c r="E105">
        <f t="shared" ca="1" si="3"/>
        <v>984</v>
      </c>
      <c r="F105">
        <f t="shared" ca="1" si="4"/>
        <v>1</v>
      </c>
      <c r="G105" cm="1">
        <f t="array" aca="1" ref="G105" ca="1">SUMPRODUCT(TRANSPOSE($B$4:$B$8),B105:F105)+$B$3</f>
        <v>62524.137524240366</v>
      </c>
    </row>
    <row r="106" spans="1:7" x14ac:dyDescent="0.35">
      <c r="A106">
        <v>96</v>
      </c>
      <c r="B106">
        <f t="shared" ca="1" si="0"/>
        <v>3</v>
      </c>
      <c r="C106">
        <f t="shared" ca="1" si="1"/>
        <v>1005.18</v>
      </c>
      <c r="D106" s="1">
        <f t="shared" ca="1" si="2"/>
        <v>15.880548320259358</v>
      </c>
      <c r="E106">
        <f t="shared" ca="1" si="3"/>
        <v>695</v>
      </c>
      <c r="F106">
        <f t="shared" ca="1" si="4"/>
        <v>1</v>
      </c>
      <c r="G106" cm="1">
        <f t="array" aca="1" ref="G106" ca="1">SUMPRODUCT(TRANSPOSE($B$4:$B$8),B106:F106)+$B$3</f>
        <v>60341.389033594816</v>
      </c>
    </row>
    <row r="107" spans="1:7" x14ac:dyDescent="0.35">
      <c r="A107">
        <v>97</v>
      </c>
      <c r="B107">
        <f t="shared" ca="1" si="0"/>
        <v>6</v>
      </c>
      <c r="C107">
        <f t="shared" ca="1" si="1"/>
        <v>1596.6</v>
      </c>
      <c r="D107" s="1">
        <f t="shared" ca="1" si="2"/>
        <v>35.675092126539674</v>
      </c>
      <c r="E107">
        <f t="shared" ca="1" si="3"/>
        <v>903</v>
      </c>
      <c r="F107">
        <f t="shared" ca="1" si="4"/>
        <v>0</v>
      </c>
      <c r="G107" cm="1">
        <f t="array" aca="1" ref="G107" ca="1">SUMPRODUCT(TRANSPOSE($B$4:$B$8),B107:F107)+$B$3</f>
        <v>89716.498157469206</v>
      </c>
    </row>
    <row r="108" spans="1:7" x14ac:dyDescent="0.35">
      <c r="A108">
        <v>98</v>
      </c>
      <c r="B108">
        <f t="shared" ca="1" si="0"/>
        <v>2</v>
      </c>
      <c r="C108">
        <f t="shared" ca="1" si="1"/>
        <v>1282.29</v>
      </c>
      <c r="D108" s="1">
        <f t="shared" ca="1" si="2"/>
        <v>6.1998600118872886</v>
      </c>
      <c r="E108">
        <f t="shared" ca="1" si="3"/>
        <v>744</v>
      </c>
      <c r="F108">
        <f t="shared" ca="1" si="4"/>
        <v>0</v>
      </c>
      <c r="G108" cm="1">
        <f t="array" aca="1" ref="G108" ca="1">SUMPRODUCT(TRANSPOSE($B$4:$B$8),B108:F108)+$B$3</f>
        <v>74190.502799762253</v>
      </c>
    </row>
    <row r="109" spans="1:7" x14ac:dyDescent="0.35">
      <c r="A109">
        <v>99</v>
      </c>
      <c r="B109">
        <f t="shared" ca="1" si="0"/>
        <v>8</v>
      </c>
      <c r="C109">
        <f t="shared" ca="1" si="1"/>
        <v>1078.6400000000001</v>
      </c>
      <c r="D109" s="1">
        <f t="shared" ca="1" si="2"/>
        <v>20.381906776821396</v>
      </c>
      <c r="E109">
        <f t="shared" ca="1" si="3"/>
        <v>763</v>
      </c>
      <c r="F109">
        <f t="shared" ca="1" si="4"/>
        <v>1</v>
      </c>
      <c r="G109" cm="1">
        <f t="array" aca="1" ref="G109" ca="1">SUMPRODUCT(TRANSPOSE($B$4:$B$8),B109:F109)+$B$3</f>
        <v>64424.361864463579</v>
      </c>
    </row>
    <row r="110" spans="1:7" x14ac:dyDescent="0.35">
      <c r="A110">
        <v>100</v>
      </c>
      <c r="B110">
        <f t="shared" ca="1" si="0"/>
        <v>8</v>
      </c>
      <c r="C110">
        <f t="shared" ca="1" si="1"/>
        <v>1294.75</v>
      </c>
      <c r="D110" s="1">
        <f t="shared" ca="1" si="2"/>
        <v>54.244440989180696</v>
      </c>
      <c r="E110">
        <f t="shared" ca="1" si="3"/>
        <v>534</v>
      </c>
      <c r="F110">
        <f t="shared" ca="1" si="4"/>
        <v>0</v>
      </c>
      <c r="G110" cm="1">
        <f t="array" aca="1" ref="G110" ca="1">SUMPRODUCT(TRANSPOSE($B$4:$B$8),B110:F110)+$B$3</f>
        <v>74452.611180216394</v>
      </c>
    </row>
    <row r="111" spans="1:7" x14ac:dyDescent="0.35">
      <c r="D111" s="1"/>
    </row>
    <row r="112" spans="1:7" x14ac:dyDescent="0.35">
      <c r="D112" s="1"/>
    </row>
    <row r="113" spans="4:4" x14ac:dyDescent="0.35">
      <c r="D113" s="1"/>
    </row>
    <row r="114" spans="4:4" x14ac:dyDescent="0.35">
      <c r="D114" s="1"/>
    </row>
    <row r="115" spans="4:4" x14ac:dyDescent="0.35">
      <c r="D115" s="1"/>
    </row>
    <row r="116" spans="4:4" x14ac:dyDescent="0.35">
      <c r="D116" s="1"/>
    </row>
    <row r="117" spans="4:4" x14ac:dyDescent="0.35">
      <c r="D117" s="1"/>
    </row>
    <row r="118" spans="4:4" x14ac:dyDescent="0.35">
      <c r="D1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Data</vt:lpstr>
      <vt:lpstr>Random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M. Becker</dc:creator>
  <cp:lastModifiedBy>Sebastian Alexander Smith</cp:lastModifiedBy>
  <dcterms:created xsi:type="dcterms:W3CDTF">2023-09-26T11:27:02Z</dcterms:created>
  <dcterms:modified xsi:type="dcterms:W3CDTF">2023-10-03T11:33:32Z</dcterms:modified>
</cp:coreProperties>
</file>